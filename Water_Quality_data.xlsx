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osaid\Documents\"/>
    </mc:Choice>
  </mc:AlternateContent>
  <xr:revisionPtr revIDLastSave="0" documentId="13_ncr:1_{A7B258FE-D223-44E8-B541-5E8F5B823096}" xr6:coauthVersionLast="47" xr6:coauthVersionMax="47" xr10:uidLastSave="{00000000-0000-0000-0000-000000000000}"/>
  <bookViews>
    <workbookView xWindow="-110" yWindow="-110" windowWidth="19420" windowHeight="10300" firstSheet="5" activeTab="7" xr2:uid="{5288A4F6-C27E-4C68-A7D6-AC182BB03526}"/>
  </bookViews>
  <sheets>
    <sheet name="Water_Quality_Data_Raw" sheetId="1" r:id="rId1"/>
    <sheet name="Water_Quality_Data " sheetId="2" r:id="rId2"/>
    <sheet name="Contamination%" sheetId="3" r:id="rId3"/>
    <sheet name="Contamination by Region" sheetId="4" r:id="rId4"/>
    <sheet name="Risk by Source Type" sheetId="5" r:id="rId5"/>
    <sheet name="Seasonal Nitrate Trend" sheetId="7" r:id="rId6"/>
    <sheet name="Most Failures " sheetId="9" r:id="rId7"/>
    <sheet name="Dashboard" sheetId="10" r:id="rId8"/>
  </sheets>
  <definedNames>
    <definedName name="Slicer_Region">#N/A</definedName>
    <definedName name="Slicer_Source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2" i="2"/>
  <c r="O301" i="2"/>
  <c r="N301" i="2"/>
  <c r="M301" i="2"/>
  <c r="O300" i="2"/>
  <c r="N300" i="2"/>
  <c r="M300" i="2"/>
  <c r="P300" i="2" s="1"/>
  <c r="O299" i="2"/>
  <c r="N299" i="2"/>
  <c r="M299" i="2"/>
  <c r="P299" i="2" s="1"/>
  <c r="O298" i="2"/>
  <c r="N298" i="2"/>
  <c r="M298" i="2"/>
  <c r="P297" i="2"/>
  <c r="O297" i="2"/>
  <c r="N297" i="2"/>
  <c r="M297" i="2"/>
  <c r="O296" i="2"/>
  <c r="N296" i="2"/>
  <c r="M296" i="2"/>
  <c r="O295" i="2"/>
  <c r="N295" i="2"/>
  <c r="M295" i="2"/>
  <c r="P295" i="2" s="1"/>
  <c r="O294" i="2"/>
  <c r="N294" i="2"/>
  <c r="P294" i="2" s="1"/>
  <c r="M294" i="2"/>
  <c r="O293" i="2"/>
  <c r="N293" i="2"/>
  <c r="P293" i="2" s="1"/>
  <c r="M293" i="2"/>
  <c r="O292" i="2"/>
  <c r="N292" i="2"/>
  <c r="M292" i="2"/>
  <c r="O291" i="2"/>
  <c r="N291" i="2"/>
  <c r="P291" i="2" s="1"/>
  <c r="M291" i="2"/>
  <c r="O290" i="2"/>
  <c r="N290" i="2"/>
  <c r="M290" i="2"/>
  <c r="O289" i="2"/>
  <c r="N289" i="2"/>
  <c r="P289" i="2" s="1"/>
  <c r="M289" i="2"/>
  <c r="O288" i="2"/>
  <c r="N288" i="2"/>
  <c r="M288" i="2"/>
  <c r="O287" i="2"/>
  <c r="N287" i="2"/>
  <c r="P287" i="2" s="1"/>
  <c r="M287" i="2"/>
  <c r="O286" i="2"/>
  <c r="N286" i="2"/>
  <c r="M286" i="2"/>
  <c r="O285" i="2"/>
  <c r="N285" i="2"/>
  <c r="M285" i="2"/>
  <c r="P285" i="2" s="1"/>
  <c r="O284" i="2"/>
  <c r="N284" i="2"/>
  <c r="M284" i="2"/>
  <c r="O283" i="2"/>
  <c r="N283" i="2"/>
  <c r="M283" i="2"/>
  <c r="O282" i="2"/>
  <c r="N282" i="2"/>
  <c r="M282" i="2"/>
  <c r="O281" i="2"/>
  <c r="N281" i="2"/>
  <c r="M281" i="2"/>
  <c r="P281" i="2" s="1"/>
  <c r="O280" i="2"/>
  <c r="N280" i="2"/>
  <c r="M280" i="2"/>
  <c r="O279" i="2"/>
  <c r="N279" i="2"/>
  <c r="M279" i="2"/>
  <c r="P279" i="2" s="1"/>
  <c r="O278" i="2"/>
  <c r="N278" i="2"/>
  <c r="M278" i="2"/>
  <c r="O277" i="2"/>
  <c r="N277" i="2"/>
  <c r="M277" i="2"/>
  <c r="P277" i="2" s="1"/>
  <c r="O276" i="2"/>
  <c r="N276" i="2"/>
  <c r="M276" i="2"/>
  <c r="O275" i="2"/>
  <c r="N275" i="2"/>
  <c r="M275" i="2"/>
  <c r="P275" i="2" s="1"/>
  <c r="O274" i="2"/>
  <c r="N274" i="2"/>
  <c r="M274" i="2"/>
  <c r="O273" i="2"/>
  <c r="N273" i="2"/>
  <c r="M273" i="2"/>
  <c r="P273" i="2" s="1"/>
  <c r="O272" i="2"/>
  <c r="N272" i="2"/>
  <c r="M272" i="2"/>
  <c r="O271" i="2"/>
  <c r="N271" i="2"/>
  <c r="M271" i="2"/>
  <c r="P271" i="2" s="1"/>
  <c r="O270" i="2"/>
  <c r="N270" i="2"/>
  <c r="M270" i="2"/>
  <c r="O269" i="2"/>
  <c r="N269" i="2"/>
  <c r="M269" i="2"/>
  <c r="P269" i="2" s="1"/>
  <c r="O268" i="2"/>
  <c r="N268" i="2"/>
  <c r="M268" i="2"/>
  <c r="O267" i="2"/>
  <c r="N267" i="2"/>
  <c r="M267" i="2"/>
  <c r="P267" i="2" s="1"/>
  <c r="O266" i="2"/>
  <c r="N266" i="2"/>
  <c r="M266" i="2"/>
  <c r="O265" i="2"/>
  <c r="N265" i="2"/>
  <c r="M265" i="2"/>
  <c r="P265" i="2" s="1"/>
  <c r="O264" i="2"/>
  <c r="N264" i="2"/>
  <c r="M264" i="2"/>
  <c r="O263" i="2"/>
  <c r="N263" i="2"/>
  <c r="M263" i="2"/>
  <c r="P263" i="2" s="1"/>
  <c r="O262" i="2"/>
  <c r="N262" i="2"/>
  <c r="M262" i="2"/>
  <c r="O261" i="2"/>
  <c r="N261" i="2"/>
  <c r="M261" i="2"/>
  <c r="P261" i="2" s="1"/>
  <c r="O260" i="2"/>
  <c r="N260" i="2"/>
  <c r="M260" i="2"/>
  <c r="O259" i="2"/>
  <c r="N259" i="2"/>
  <c r="M259" i="2"/>
  <c r="P259" i="2" s="1"/>
  <c r="O258" i="2"/>
  <c r="N258" i="2"/>
  <c r="M258" i="2"/>
  <c r="O257" i="2"/>
  <c r="N257" i="2"/>
  <c r="M257" i="2"/>
  <c r="P257" i="2" s="1"/>
  <c r="O256" i="2"/>
  <c r="N256" i="2"/>
  <c r="M256" i="2"/>
  <c r="O255" i="2"/>
  <c r="N255" i="2"/>
  <c r="M255" i="2"/>
  <c r="P255" i="2" s="1"/>
  <c r="O254" i="2"/>
  <c r="N254" i="2"/>
  <c r="M254" i="2"/>
  <c r="O253" i="2"/>
  <c r="N253" i="2"/>
  <c r="M253" i="2"/>
  <c r="P253" i="2" s="1"/>
  <c r="O252" i="2"/>
  <c r="N252" i="2"/>
  <c r="M252" i="2"/>
  <c r="O251" i="2"/>
  <c r="N251" i="2"/>
  <c r="M251" i="2"/>
  <c r="P251" i="2" s="1"/>
  <c r="O250" i="2"/>
  <c r="N250" i="2"/>
  <c r="M250" i="2"/>
  <c r="O249" i="2"/>
  <c r="N249" i="2"/>
  <c r="M249" i="2"/>
  <c r="P249" i="2" s="1"/>
  <c r="O248" i="2"/>
  <c r="N248" i="2"/>
  <c r="M248" i="2"/>
  <c r="O247" i="2"/>
  <c r="N247" i="2"/>
  <c r="M247" i="2"/>
  <c r="P247" i="2" s="1"/>
  <c r="O246" i="2"/>
  <c r="N246" i="2"/>
  <c r="M246" i="2"/>
  <c r="O245" i="2"/>
  <c r="N245" i="2"/>
  <c r="M245" i="2"/>
  <c r="P245" i="2" s="1"/>
  <c r="O244" i="2"/>
  <c r="N244" i="2"/>
  <c r="M244" i="2"/>
  <c r="O243" i="2"/>
  <c r="N243" i="2"/>
  <c r="M243" i="2"/>
  <c r="P243" i="2" s="1"/>
  <c r="O242" i="2"/>
  <c r="N242" i="2"/>
  <c r="M242" i="2"/>
  <c r="O241" i="2"/>
  <c r="N241" i="2"/>
  <c r="M241" i="2"/>
  <c r="P241" i="2" s="1"/>
  <c r="O240" i="2"/>
  <c r="N240" i="2"/>
  <c r="M240" i="2"/>
  <c r="O239" i="2"/>
  <c r="N239" i="2"/>
  <c r="M239" i="2"/>
  <c r="P239" i="2" s="1"/>
  <c r="O238" i="2"/>
  <c r="N238" i="2"/>
  <c r="M238" i="2"/>
  <c r="O237" i="2"/>
  <c r="N237" i="2"/>
  <c r="M237" i="2"/>
  <c r="P237" i="2" s="1"/>
  <c r="O236" i="2"/>
  <c r="N236" i="2"/>
  <c r="M236" i="2"/>
  <c r="O235" i="2"/>
  <c r="N235" i="2"/>
  <c r="M235" i="2"/>
  <c r="P235" i="2" s="1"/>
  <c r="O234" i="2"/>
  <c r="N234" i="2"/>
  <c r="M234" i="2"/>
  <c r="O233" i="2"/>
  <c r="N233" i="2"/>
  <c r="M233" i="2"/>
  <c r="P233" i="2" s="1"/>
  <c r="O232" i="2"/>
  <c r="N232" i="2"/>
  <c r="M232" i="2"/>
  <c r="O231" i="2"/>
  <c r="N231" i="2"/>
  <c r="M231" i="2"/>
  <c r="P231" i="2" s="1"/>
  <c r="O230" i="2"/>
  <c r="N230" i="2"/>
  <c r="M230" i="2"/>
  <c r="O229" i="2"/>
  <c r="N229" i="2"/>
  <c r="M229" i="2"/>
  <c r="P229" i="2" s="1"/>
  <c r="O228" i="2"/>
  <c r="N228" i="2"/>
  <c r="M228" i="2"/>
  <c r="O227" i="2"/>
  <c r="N227" i="2"/>
  <c r="M227" i="2"/>
  <c r="P227" i="2" s="1"/>
  <c r="O226" i="2"/>
  <c r="N226" i="2"/>
  <c r="M226" i="2"/>
  <c r="O225" i="2"/>
  <c r="N225" i="2"/>
  <c r="M225" i="2"/>
  <c r="P225" i="2" s="1"/>
  <c r="O224" i="2"/>
  <c r="N224" i="2"/>
  <c r="M224" i="2"/>
  <c r="O223" i="2"/>
  <c r="N223" i="2"/>
  <c r="M223" i="2"/>
  <c r="P223" i="2" s="1"/>
  <c r="O222" i="2"/>
  <c r="N222" i="2"/>
  <c r="M222" i="2"/>
  <c r="O221" i="2"/>
  <c r="N221" i="2"/>
  <c r="M221" i="2"/>
  <c r="P221" i="2" s="1"/>
  <c r="O220" i="2"/>
  <c r="N220" i="2"/>
  <c r="M220" i="2"/>
  <c r="O219" i="2"/>
  <c r="N219" i="2"/>
  <c r="M219" i="2"/>
  <c r="P219" i="2" s="1"/>
  <c r="O218" i="2"/>
  <c r="N218" i="2"/>
  <c r="M218" i="2"/>
  <c r="O217" i="2"/>
  <c r="N217" i="2"/>
  <c r="M217" i="2"/>
  <c r="P217" i="2" s="1"/>
  <c r="O216" i="2"/>
  <c r="N216" i="2"/>
  <c r="M216" i="2"/>
  <c r="O215" i="2"/>
  <c r="N215" i="2"/>
  <c r="M215" i="2"/>
  <c r="P215" i="2" s="1"/>
  <c r="O214" i="2"/>
  <c r="N214" i="2"/>
  <c r="M214" i="2"/>
  <c r="O213" i="2"/>
  <c r="N213" i="2"/>
  <c r="M213" i="2"/>
  <c r="O212" i="2"/>
  <c r="N212" i="2"/>
  <c r="M212" i="2"/>
  <c r="O211" i="2"/>
  <c r="N211" i="2"/>
  <c r="M211" i="2"/>
  <c r="P211" i="2" s="1"/>
  <c r="O210" i="2"/>
  <c r="N210" i="2"/>
  <c r="M210" i="2"/>
  <c r="O209" i="2"/>
  <c r="N209" i="2"/>
  <c r="M209" i="2"/>
  <c r="O208" i="2"/>
  <c r="N208" i="2"/>
  <c r="M208" i="2"/>
  <c r="O207" i="2"/>
  <c r="N207" i="2"/>
  <c r="M207" i="2"/>
  <c r="O206" i="2"/>
  <c r="N206" i="2"/>
  <c r="M206" i="2"/>
  <c r="O205" i="2"/>
  <c r="N205" i="2"/>
  <c r="M205" i="2"/>
  <c r="P205" i="2" s="1"/>
  <c r="O204" i="2"/>
  <c r="N204" i="2"/>
  <c r="M204" i="2"/>
  <c r="O203" i="2"/>
  <c r="N203" i="2"/>
  <c r="M203" i="2"/>
  <c r="P203" i="2" s="1"/>
  <c r="O202" i="2"/>
  <c r="N202" i="2"/>
  <c r="M202" i="2"/>
  <c r="O201" i="2"/>
  <c r="N201" i="2"/>
  <c r="M201" i="2"/>
  <c r="O200" i="2"/>
  <c r="N200" i="2"/>
  <c r="M200" i="2"/>
  <c r="O199" i="2"/>
  <c r="N199" i="2"/>
  <c r="M199" i="2"/>
  <c r="O198" i="2"/>
  <c r="N198" i="2"/>
  <c r="M198" i="2"/>
  <c r="O197" i="2"/>
  <c r="N197" i="2"/>
  <c r="M197" i="2"/>
  <c r="P197" i="2" s="1"/>
  <c r="O196" i="2"/>
  <c r="N196" i="2"/>
  <c r="M196" i="2"/>
  <c r="O195" i="2"/>
  <c r="N195" i="2"/>
  <c r="M195" i="2"/>
  <c r="P195" i="2" s="1"/>
  <c r="O194" i="2"/>
  <c r="N194" i="2"/>
  <c r="M194" i="2"/>
  <c r="O193" i="2"/>
  <c r="N193" i="2"/>
  <c r="M193" i="2"/>
  <c r="O192" i="2"/>
  <c r="N192" i="2"/>
  <c r="M192" i="2"/>
  <c r="O191" i="2"/>
  <c r="N191" i="2"/>
  <c r="M191" i="2"/>
  <c r="O190" i="2"/>
  <c r="N190" i="2"/>
  <c r="M190" i="2"/>
  <c r="O189" i="2"/>
  <c r="N189" i="2"/>
  <c r="M189" i="2"/>
  <c r="P189" i="2" s="1"/>
  <c r="O188" i="2"/>
  <c r="N188" i="2"/>
  <c r="M188" i="2"/>
  <c r="O187" i="2"/>
  <c r="N187" i="2"/>
  <c r="M187" i="2"/>
  <c r="P187" i="2" s="1"/>
  <c r="O186" i="2"/>
  <c r="N186" i="2"/>
  <c r="M186" i="2"/>
  <c r="O185" i="2"/>
  <c r="N185" i="2"/>
  <c r="M185" i="2"/>
  <c r="O184" i="2"/>
  <c r="N184" i="2"/>
  <c r="M184" i="2"/>
  <c r="O183" i="2"/>
  <c r="N183" i="2"/>
  <c r="M183" i="2"/>
  <c r="O182" i="2"/>
  <c r="N182" i="2"/>
  <c r="M182" i="2"/>
  <c r="O181" i="2"/>
  <c r="N181" i="2"/>
  <c r="M181" i="2"/>
  <c r="P181" i="2" s="1"/>
  <c r="O180" i="2"/>
  <c r="N180" i="2"/>
  <c r="M180" i="2"/>
  <c r="O179" i="2"/>
  <c r="N179" i="2"/>
  <c r="M179" i="2"/>
  <c r="P179" i="2" s="1"/>
  <c r="O178" i="2"/>
  <c r="N178" i="2"/>
  <c r="M178" i="2"/>
  <c r="O177" i="2"/>
  <c r="N177" i="2"/>
  <c r="M177" i="2"/>
  <c r="O176" i="2"/>
  <c r="N176" i="2"/>
  <c r="M176" i="2"/>
  <c r="O175" i="2"/>
  <c r="N175" i="2"/>
  <c r="M175" i="2"/>
  <c r="O174" i="2"/>
  <c r="N174" i="2"/>
  <c r="M174" i="2"/>
  <c r="O173" i="2"/>
  <c r="N173" i="2"/>
  <c r="M173" i="2"/>
  <c r="P173" i="2" s="1"/>
  <c r="O172" i="2"/>
  <c r="N172" i="2"/>
  <c r="M172" i="2"/>
  <c r="O171" i="2"/>
  <c r="N171" i="2"/>
  <c r="M171" i="2"/>
  <c r="P171" i="2" s="1"/>
  <c r="O170" i="2"/>
  <c r="N170" i="2"/>
  <c r="M170" i="2"/>
  <c r="O169" i="2"/>
  <c r="N169" i="2"/>
  <c r="M169" i="2"/>
  <c r="O168" i="2"/>
  <c r="N168" i="2"/>
  <c r="M168" i="2"/>
  <c r="O167" i="2"/>
  <c r="N167" i="2"/>
  <c r="M167" i="2"/>
  <c r="O166" i="2"/>
  <c r="N166" i="2"/>
  <c r="M166" i="2"/>
  <c r="O165" i="2"/>
  <c r="N165" i="2"/>
  <c r="M165" i="2"/>
  <c r="P165" i="2" s="1"/>
  <c r="O164" i="2"/>
  <c r="N164" i="2"/>
  <c r="M164" i="2"/>
  <c r="O163" i="2"/>
  <c r="N163" i="2"/>
  <c r="M163" i="2"/>
  <c r="P163" i="2" s="1"/>
  <c r="O162" i="2"/>
  <c r="N162" i="2"/>
  <c r="M162" i="2"/>
  <c r="O161" i="2"/>
  <c r="N161" i="2"/>
  <c r="M161" i="2"/>
  <c r="O160" i="2"/>
  <c r="N160" i="2"/>
  <c r="M160" i="2"/>
  <c r="O159" i="2"/>
  <c r="N159" i="2"/>
  <c r="M159" i="2"/>
  <c r="O158" i="2"/>
  <c r="N158" i="2"/>
  <c r="M158" i="2"/>
  <c r="O157" i="2"/>
  <c r="N157" i="2"/>
  <c r="M157" i="2"/>
  <c r="P157" i="2" s="1"/>
  <c r="O156" i="2"/>
  <c r="N156" i="2"/>
  <c r="M156" i="2"/>
  <c r="O155" i="2"/>
  <c r="N155" i="2"/>
  <c r="M155" i="2"/>
  <c r="P155" i="2" s="1"/>
  <c r="O154" i="2"/>
  <c r="N154" i="2"/>
  <c r="M154" i="2"/>
  <c r="O153" i="2"/>
  <c r="N153" i="2"/>
  <c r="M153" i="2"/>
  <c r="O152" i="2"/>
  <c r="N152" i="2"/>
  <c r="M152" i="2"/>
  <c r="O151" i="2"/>
  <c r="N151" i="2"/>
  <c r="M151" i="2"/>
  <c r="O150" i="2"/>
  <c r="N150" i="2"/>
  <c r="M150" i="2"/>
  <c r="O149" i="2"/>
  <c r="N149" i="2"/>
  <c r="M149" i="2"/>
  <c r="P149" i="2" s="1"/>
  <c r="O148" i="2"/>
  <c r="N148" i="2"/>
  <c r="M148" i="2"/>
  <c r="O147" i="2"/>
  <c r="N147" i="2"/>
  <c r="M147" i="2"/>
  <c r="P147" i="2" s="1"/>
  <c r="O146" i="2"/>
  <c r="N146" i="2"/>
  <c r="M146" i="2"/>
  <c r="O145" i="2"/>
  <c r="N145" i="2"/>
  <c r="M145" i="2"/>
  <c r="O144" i="2"/>
  <c r="N144" i="2"/>
  <c r="M144" i="2"/>
  <c r="O143" i="2"/>
  <c r="N143" i="2"/>
  <c r="M143" i="2"/>
  <c r="O142" i="2"/>
  <c r="N142" i="2"/>
  <c r="M142" i="2"/>
  <c r="O141" i="2"/>
  <c r="N141" i="2"/>
  <c r="M141" i="2"/>
  <c r="P141" i="2" s="1"/>
  <c r="O140" i="2"/>
  <c r="N140" i="2"/>
  <c r="M140" i="2"/>
  <c r="O139" i="2"/>
  <c r="N139" i="2"/>
  <c r="M139" i="2"/>
  <c r="P139" i="2" s="1"/>
  <c r="O138" i="2"/>
  <c r="N138" i="2"/>
  <c r="M138" i="2"/>
  <c r="O137" i="2"/>
  <c r="N137" i="2"/>
  <c r="M137" i="2"/>
  <c r="O136" i="2"/>
  <c r="N136" i="2"/>
  <c r="M136" i="2"/>
  <c r="O135" i="2"/>
  <c r="N135" i="2"/>
  <c r="M135" i="2"/>
  <c r="O134" i="2"/>
  <c r="N134" i="2"/>
  <c r="M134" i="2"/>
  <c r="O133" i="2"/>
  <c r="N133" i="2"/>
  <c r="M133" i="2"/>
  <c r="P133" i="2" s="1"/>
  <c r="O132" i="2"/>
  <c r="N132" i="2"/>
  <c r="M132" i="2"/>
  <c r="O131" i="2"/>
  <c r="N131" i="2"/>
  <c r="M131" i="2"/>
  <c r="P131" i="2" s="1"/>
  <c r="O130" i="2"/>
  <c r="N130" i="2"/>
  <c r="M130" i="2"/>
  <c r="O129" i="2"/>
  <c r="N129" i="2"/>
  <c r="M129" i="2"/>
  <c r="O128" i="2"/>
  <c r="N128" i="2"/>
  <c r="M128" i="2"/>
  <c r="O127" i="2"/>
  <c r="N127" i="2"/>
  <c r="M127" i="2"/>
  <c r="O126" i="2"/>
  <c r="N126" i="2"/>
  <c r="M126" i="2"/>
  <c r="O125" i="2"/>
  <c r="N125" i="2"/>
  <c r="P125" i="2" s="1"/>
  <c r="M125" i="2"/>
  <c r="O124" i="2"/>
  <c r="N124" i="2"/>
  <c r="M124" i="2"/>
  <c r="O123" i="2"/>
  <c r="N123" i="2"/>
  <c r="M123" i="2"/>
  <c r="P123" i="2" s="1"/>
  <c r="O122" i="2"/>
  <c r="N122" i="2"/>
  <c r="M122" i="2"/>
  <c r="O121" i="2"/>
  <c r="N121" i="2"/>
  <c r="M121" i="2"/>
  <c r="O120" i="2"/>
  <c r="N120" i="2"/>
  <c r="M120" i="2"/>
  <c r="P120" i="2" s="1"/>
  <c r="O119" i="2"/>
  <c r="N119" i="2"/>
  <c r="M119" i="2"/>
  <c r="O118" i="2"/>
  <c r="N118" i="2"/>
  <c r="M118" i="2"/>
  <c r="O117" i="2"/>
  <c r="N117" i="2"/>
  <c r="M117" i="2"/>
  <c r="O116" i="2"/>
  <c r="N116" i="2"/>
  <c r="M116" i="2"/>
  <c r="P116" i="2" s="1"/>
  <c r="O115" i="2"/>
  <c r="N115" i="2"/>
  <c r="M115" i="2"/>
  <c r="P115" i="2" s="1"/>
  <c r="O114" i="2"/>
  <c r="N114" i="2"/>
  <c r="M114" i="2"/>
  <c r="O113" i="2"/>
  <c r="N113" i="2"/>
  <c r="M113" i="2"/>
  <c r="O112" i="2"/>
  <c r="N112" i="2"/>
  <c r="M112" i="2"/>
  <c r="P112" i="2" s="1"/>
  <c r="O111" i="2"/>
  <c r="N111" i="2"/>
  <c r="M111" i="2"/>
  <c r="O110" i="2"/>
  <c r="N110" i="2"/>
  <c r="M110" i="2"/>
  <c r="O109" i="2"/>
  <c r="N109" i="2"/>
  <c r="M109" i="2"/>
  <c r="O108" i="2"/>
  <c r="N108" i="2"/>
  <c r="M108" i="2"/>
  <c r="P108" i="2" s="1"/>
  <c r="O107" i="2"/>
  <c r="N107" i="2"/>
  <c r="M107" i="2"/>
  <c r="P107" i="2" s="1"/>
  <c r="O106" i="2"/>
  <c r="N106" i="2"/>
  <c r="M106" i="2"/>
  <c r="O105" i="2"/>
  <c r="N105" i="2"/>
  <c r="M105" i="2"/>
  <c r="O104" i="2"/>
  <c r="N104" i="2"/>
  <c r="M104" i="2"/>
  <c r="P104" i="2" s="1"/>
  <c r="O103" i="2"/>
  <c r="N103" i="2"/>
  <c r="M103" i="2"/>
  <c r="O102" i="2"/>
  <c r="N102" i="2"/>
  <c r="M102" i="2"/>
  <c r="O101" i="2"/>
  <c r="N101" i="2"/>
  <c r="M101" i="2"/>
  <c r="O100" i="2"/>
  <c r="N100" i="2"/>
  <c r="M100" i="2"/>
  <c r="P100" i="2" s="1"/>
  <c r="O99" i="2"/>
  <c r="N99" i="2"/>
  <c r="M99" i="2"/>
  <c r="P99" i="2" s="1"/>
  <c r="O98" i="2"/>
  <c r="N98" i="2"/>
  <c r="M98" i="2"/>
  <c r="O97" i="2"/>
  <c r="N97" i="2"/>
  <c r="M97" i="2"/>
  <c r="O96" i="2"/>
  <c r="N96" i="2"/>
  <c r="M96" i="2"/>
  <c r="P96" i="2" s="1"/>
  <c r="O95" i="2"/>
  <c r="N95" i="2"/>
  <c r="M95" i="2"/>
  <c r="O94" i="2"/>
  <c r="N94" i="2"/>
  <c r="M94" i="2"/>
  <c r="O93" i="2"/>
  <c r="N93" i="2"/>
  <c r="M93" i="2"/>
  <c r="O92" i="2"/>
  <c r="N92" i="2"/>
  <c r="M92" i="2"/>
  <c r="P92" i="2" s="1"/>
  <c r="O91" i="2"/>
  <c r="N91" i="2"/>
  <c r="M91" i="2"/>
  <c r="P91" i="2" s="1"/>
  <c r="O90" i="2"/>
  <c r="N90" i="2"/>
  <c r="M90" i="2"/>
  <c r="O89" i="2"/>
  <c r="N89" i="2"/>
  <c r="M89" i="2"/>
  <c r="O88" i="2"/>
  <c r="N88" i="2"/>
  <c r="M88" i="2"/>
  <c r="P88" i="2" s="1"/>
  <c r="O87" i="2"/>
  <c r="N87" i="2"/>
  <c r="M87" i="2"/>
  <c r="O86" i="2"/>
  <c r="N86" i="2"/>
  <c r="M86" i="2"/>
  <c r="O85" i="2"/>
  <c r="N85" i="2"/>
  <c r="M85" i="2"/>
  <c r="O84" i="2"/>
  <c r="N84" i="2"/>
  <c r="M84" i="2"/>
  <c r="P84" i="2" s="1"/>
  <c r="O83" i="2"/>
  <c r="N83" i="2"/>
  <c r="M83" i="2"/>
  <c r="P83" i="2" s="1"/>
  <c r="O82" i="2"/>
  <c r="N82" i="2"/>
  <c r="M82" i="2"/>
  <c r="O81" i="2"/>
  <c r="N81" i="2"/>
  <c r="M81" i="2"/>
  <c r="O80" i="2"/>
  <c r="N80" i="2"/>
  <c r="M80" i="2"/>
  <c r="P80" i="2" s="1"/>
  <c r="O79" i="2"/>
  <c r="N79" i="2"/>
  <c r="M79" i="2"/>
  <c r="O78" i="2"/>
  <c r="N78" i="2"/>
  <c r="M78" i="2"/>
  <c r="O77" i="2"/>
  <c r="N77" i="2"/>
  <c r="M77" i="2"/>
  <c r="O76" i="2"/>
  <c r="N76" i="2"/>
  <c r="M76" i="2"/>
  <c r="P76" i="2" s="1"/>
  <c r="O75" i="2"/>
  <c r="N75" i="2"/>
  <c r="M75" i="2"/>
  <c r="P75" i="2" s="1"/>
  <c r="O74" i="2"/>
  <c r="N74" i="2"/>
  <c r="M74" i="2"/>
  <c r="O73" i="2"/>
  <c r="N73" i="2"/>
  <c r="M73" i="2"/>
  <c r="O72" i="2"/>
  <c r="N72" i="2"/>
  <c r="M72" i="2"/>
  <c r="P72" i="2" s="1"/>
  <c r="O71" i="2"/>
  <c r="N71" i="2"/>
  <c r="M71" i="2"/>
  <c r="O70" i="2"/>
  <c r="N70" i="2"/>
  <c r="M70" i="2"/>
  <c r="O69" i="2"/>
  <c r="N69" i="2"/>
  <c r="M69" i="2"/>
  <c r="O68" i="2"/>
  <c r="N68" i="2"/>
  <c r="M68" i="2"/>
  <c r="P68" i="2" s="1"/>
  <c r="O67" i="2"/>
  <c r="N67" i="2"/>
  <c r="M67" i="2"/>
  <c r="P67" i="2" s="1"/>
  <c r="O66" i="2"/>
  <c r="N66" i="2"/>
  <c r="M66" i="2"/>
  <c r="O65" i="2"/>
  <c r="N65" i="2"/>
  <c r="M65" i="2"/>
  <c r="O64" i="2"/>
  <c r="N64" i="2"/>
  <c r="M64" i="2"/>
  <c r="P64" i="2" s="1"/>
  <c r="O63" i="2"/>
  <c r="N63" i="2"/>
  <c r="M63" i="2"/>
  <c r="O62" i="2"/>
  <c r="N62" i="2"/>
  <c r="M62" i="2"/>
  <c r="O61" i="2"/>
  <c r="N61" i="2"/>
  <c r="M61" i="2"/>
  <c r="O60" i="2"/>
  <c r="N60" i="2"/>
  <c r="M60" i="2"/>
  <c r="P60" i="2" s="1"/>
  <c r="O59" i="2"/>
  <c r="N59" i="2"/>
  <c r="M59" i="2"/>
  <c r="P59" i="2" s="1"/>
  <c r="O58" i="2"/>
  <c r="N58" i="2"/>
  <c r="M58" i="2"/>
  <c r="O57" i="2"/>
  <c r="N57" i="2"/>
  <c r="M57" i="2"/>
  <c r="O56" i="2"/>
  <c r="N56" i="2"/>
  <c r="M56" i="2"/>
  <c r="P56" i="2" s="1"/>
  <c r="O55" i="2"/>
  <c r="N55" i="2"/>
  <c r="M55" i="2"/>
  <c r="O54" i="2"/>
  <c r="N54" i="2"/>
  <c r="M54" i="2"/>
  <c r="O53" i="2"/>
  <c r="N53" i="2"/>
  <c r="M53" i="2"/>
  <c r="O52" i="2"/>
  <c r="N52" i="2"/>
  <c r="M52" i="2"/>
  <c r="P52" i="2" s="1"/>
  <c r="O51" i="2"/>
  <c r="N51" i="2"/>
  <c r="M51" i="2"/>
  <c r="P51" i="2" s="1"/>
  <c r="O50" i="2"/>
  <c r="N50" i="2"/>
  <c r="M50" i="2"/>
  <c r="O49" i="2"/>
  <c r="N49" i="2"/>
  <c r="M49" i="2"/>
  <c r="O48" i="2"/>
  <c r="N48" i="2"/>
  <c r="M48" i="2"/>
  <c r="P48" i="2" s="1"/>
  <c r="O47" i="2"/>
  <c r="N47" i="2"/>
  <c r="M47" i="2"/>
  <c r="O46" i="2"/>
  <c r="N46" i="2"/>
  <c r="M46" i="2"/>
  <c r="O45" i="2"/>
  <c r="N45" i="2"/>
  <c r="M45" i="2"/>
  <c r="O44" i="2"/>
  <c r="N44" i="2"/>
  <c r="M44" i="2"/>
  <c r="P44" i="2" s="1"/>
  <c r="O43" i="2"/>
  <c r="N43" i="2"/>
  <c r="M43" i="2"/>
  <c r="P43" i="2" s="1"/>
  <c r="O42" i="2"/>
  <c r="N42" i="2"/>
  <c r="M42" i="2"/>
  <c r="O41" i="2"/>
  <c r="N41" i="2"/>
  <c r="M41" i="2"/>
  <c r="O40" i="2"/>
  <c r="N40" i="2"/>
  <c r="M40" i="2"/>
  <c r="P40" i="2" s="1"/>
  <c r="O39" i="2"/>
  <c r="N39" i="2"/>
  <c r="M39" i="2"/>
  <c r="O38" i="2"/>
  <c r="N38" i="2"/>
  <c r="M38" i="2"/>
  <c r="O37" i="2"/>
  <c r="N37" i="2"/>
  <c r="M37" i="2"/>
  <c r="O36" i="2"/>
  <c r="N36" i="2"/>
  <c r="M36" i="2"/>
  <c r="P36" i="2" s="1"/>
  <c r="O35" i="2"/>
  <c r="N35" i="2"/>
  <c r="M35" i="2"/>
  <c r="P35" i="2" s="1"/>
  <c r="O34" i="2"/>
  <c r="N34" i="2"/>
  <c r="M34" i="2"/>
  <c r="O33" i="2"/>
  <c r="N33" i="2"/>
  <c r="M33" i="2"/>
  <c r="O32" i="2"/>
  <c r="N32" i="2"/>
  <c r="M32" i="2"/>
  <c r="P32" i="2" s="1"/>
  <c r="O31" i="2"/>
  <c r="N31" i="2"/>
  <c r="M31" i="2"/>
  <c r="O30" i="2"/>
  <c r="N30" i="2"/>
  <c r="M30" i="2"/>
  <c r="O29" i="2"/>
  <c r="N29" i="2"/>
  <c r="M29" i="2"/>
  <c r="O28" i="2"/>
  <c r="N28" i="2"/>
  <c r="M28" i="2"/>
  <c r="P28" i="2" s="1"/>
  <c r="O27" i="2"/>
  <c r="N27" i="2"/>
  <c r="M27" i="2"/>
  <c r="P27" i="2" s="1"/>
  <c r="O26" i="2"/>
  <c r="N26" i="2"/>
  <c r="M26" i="2"/>
  <c r="O25" i="2"/>
  <c r="N25" i="2"/>
  <c r="M25" i="2"/>
  <c r="O24" i="2"/>
  <c r="N24" i="2"/>
  <c r="M24" i="2"/>
  <c r="P24" i="2" s="1"/>
  <c r="O23" i="2"/>
  <c r="N23" i="2"/>
  <c r="M23" i="2"/>
  <c r="O22" i="2"/>
  <c r="N22" i="2"/>
  <c r="M22" i="2"/>
  <c r="O21" i="2"/>
  <c r="N21" i="2"/>
  <c r="M21" i="2"/>
  <c r="O20" i="2"/>
  <c r="N20" i="2"/>
  <c r="M20" i="2"/>
  <c r="P20" i="2" s="1"/>
  <c r="O19" i="2"/>
  <c r="N19" i="2"/>
  <c r="M19" i="2"/>
  <c r="P19" i="2" s="1"/>
  <c r="O18" i="2"/>
  <c r="N18" i="2"/>
  <c r="M18" i="2"/>
  <c r="O17" i="2"/>
  <c r="N17" i="2"/>
  <c r="M17" i="2"/>
  <c r="O16" i="2"/>
  <c r="N16" i="2"/>
  <c r="M16" i="2"/>
  <c r="P16" i="2" s="1"/>
  <c r="O15" i="2"/>
  <c r="N15" i="2"/>
  <c r="M15" i="2"/>
  <c r="O14" i="2"/>
  <c r="N14" i="2"/>
  <c r="M14" i="2"/>
  <c r="O13" i="2"/>
  <c r="N13" i="2"/>
  <c r="M13" i="2"/>
  <c r="O12" i="2"/>
  <c r="N12" i="2"/>
  <c r="M12" i="2"/>
  <c r="P12" i="2" s="1"/>
  <c r="O11" i="2"/>
  <c r="N11" i="2"/>
  <c r="M11" i="2"/>
  <c r="P11" i="2" s="1"/>
  <c r="O10" i="2"/>
  <c r="N10" i="2"/>
  <c r="M10" i="2"/>
  <c r="O9" i="2"/>
  <c r="N9" i="2"/>
  <c r="M9" i="2"/>
  <c r="O8" i="2"/>
  <c r="N8" i="2"/>
  <c r="M8" i="2"/>
  <c r="P8" i="2" s="1"/>
  <c r="O7" i="2"/>
  <c r="N7" i="2"/>
  <c r="M7" i="2"/>
  <c r="O6" i="2"/>
  <c r="N6" i="2"/>
  <c r="M6" i="2"/>
  <c r="O5" i="2"/>
  <c r="N5" i="2"/>
  <c r="M5" i="2"/>
  <c r="O4" i="2"/>
  <c r="N4" i="2"/>
  <c r="M4" i="2"/>
  <c r="P4" i="2" s="1"/>
  <c r="O3" i="2"/>
  <c r="N3" i="2"/>
  <c r="M3" i="2"/>
  <c r="P3" i="2" s="1"/>
  <c r="O2" i="2"/>
  <c r="N2" i="2"/>
  <c r="M2" i="2"/>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2" i="1"/>
  <c r="P7" i="2" l="1"/>
  <c r="P15" i="2"/>
  <c r="P23" i="2"/>
  <c r="P31" i="2"/>
  <c r="P39" i="2"/>
  <c r="P47" i="2"/>
  <c r="P55" i="2"/>
  <c r="P63" i="2"/>
  <c r="P71" i="2"/>
  <c r="P79" i="2"/>
  <c r="P87" i="2"/>
  <c r="P95" i="2"/>
  <c r="P103" i="2"/>
  <c r="P111" i="2"/>
  <c r="P119" i="2"/>
  <c r="P2" i="2"/>
  <c r="P10" i="2"/>
  <c r="P18" i="2"/>
  <c r="P26" i="2"/>
  <c r="P34" i="2"/>
  <c r="P42" i="2"/>
  <c r="P50" i="2"/>
  <c r="P58" i="2"/>
  <c r="P66" i="2"/>
  <c r="P74" i="2"/>
  <c r="P82" i="2"/>
  <c r="P90" i="2"/>
  <c r="P98" i="2"/>
  <c r="P106" i="2"/>
  <c r="P114" i="2"/>
  <c r="P122" i="2"/>
  <c r="P127" i="2"/>
  <c r="P135" i="2"/>
  <c r="P143" i="2"/>
  <c r="P151" i="2"/>
  <c r="P159" i="2"/>
  <c r="P167" i="2"/>
  <c r="P175" i="2"/>
  <c r="P183" i="2"/>
  <c r="P5" i="2"/>
  <c r="P13" i="2"/>
  <c r="P21" i="2"/>
  <c r="P29" i="2"/>
  <c r="P37" i="2"/>
  <c r="P45" i="2"/>
  <c r="P53" i="2"/>
  <c r="P61" i="2"/>
  <c r="P69" i="2"/>
  <c r="P77" i="2"/>
  <c r="P85" i="2"/>
  <c r="P93" i="2"/>
  <c r="P101" i="2"/>
  <c r="P109" i="2"/>
  <c r="P117" i="2"/>
  <c r="P6" i="2"/>
  <c r="P14" i="2"/>
  <c r="P22" i="2"/>
  <c r="P30" i="2"/>
  <c r="P38" i="2"/>
  <c r="P46" i="2"/>
  <c r="P54" i="2"/>
  <c r="P62" i="2"/>
  <c r="P70" i="2"/>
  <c r="P78" i="2"/>
  <c r="P86" i="2"/>
  <c r="P94" i="2"/>
  <c r="P102" i="2"/>
  <c r="P110" i="2"/>
  <c r="P118" i="2"/>
  <c r="P9" i="2"/>
  <c r="P17" i="2"/>
  <c r="P25" i="2"/>
  <c r="P33" i="2"/>
  <c r="P41" i="2"/>
  <c r="P49" i="2"/>
  <c r="P57" i="2"/>
  <c r="P65" i="2"/>
  <c r="P73" i="2"/>
  <c r="P81" i="2"/>
  <c r="P89" i="2"/>
  <c r="P97" i="2"/>
  <c r="P105" i="2"/>
  <c r="P113" i="2"/>
  <c r="P121" i="2"/>
  <c r="P124" i="2"/>
  <c r="P129" i="2"/>
  <c r="P137" i="2"/>
  <c r="P145" i="2"/>
  <c r="P153" i="2"/>
  <c r="P161" i="2"/>
  <c r="P169" i="2"/>
  <c r="P177" i="2"/>
  <c r="P185" i="2"/>
  <c r="P193" i="2"/>
  <c r="P201" i="2"/>
  <c r="P209" i="2"/>
  <c r="P132" i="2"/>
  <c r="P140" i="2"/>
  <c r="P148" i="2"/>
  <c r="P156" i="2"/>
  <c r="P164" i="2"/>
  <c r="P172" i="2"/>
  <c r="P180" i="2"/>
  <c r="P188" i="2"/>
  <c r="P196" i="2"/>
  <c r="P204" i="2"/>
  <c r="P212" i="2"/>
  <c r="P220" i="2"/>
  <c r="P228" i="2"/>
  <c r="P236" i="2"/>
  <c r="P244" i="2"/>
  <c r="P252" i="2"/>
  <c r="P260" i="2"/>
  <c r="P268" i="2"/>
  <c r="P276" i="2"/>
  <c r="P284" i="2"/>
  <c r="P292" i="2"/>
  <c r="P191" i="2"/>
  <c r="P199" i="2"/>
  <c r="P207" i="2"/>
  <c r="P130" i="2"/>
  <c r="P138" i="2"/>
  <c r="P146" i="2"/>
  <c r="P154" i="2"/>
  <c r="P162" i="2"/>
  <c r="P170" i="2"/>
  <c r="P178" i="2"/>
  <c r="P186" i="2"/>
  <c r="P194" i="2"/>
  <c r="P202" i="2"/>
  <c r="P210" i="2"/>
  <c r="P218" i="2"/>
  <c r="P226" i="2"/>
  <c r="P234" i="2"/>
  <c r="P242" i="2"/>
  <c r="P250" i="2"/>
  <c r="P258" i="2"/>
  <c r="P266" i="2"/>
  <c r="P274" i="2"/>
  <c r="P282" i="2"/>
  <c r="P290" i="2"/>
  <c r="P213" i="2"/>
  <c r="P128" i="2"/>
  <c r="P136" i="2"/>
  <c r="P144" i="2"/>
  <c r="P152" i="2"/>
  <c r="P160" i="2"/>
  <c r="P168" i="2"/>
  <c r="P176" i="2"/>
  <c r="P184" i="2"/>
  <c r="P192" i="2"/>
  <c r="P200" i="2"/>
  <c r="P208" i="2"/>
  <c r="P216" i="2"/>
  <c r="P224" i="2"/>
  <c r="P232" i="2"/>
  <c r="P240" i="2"/>
  <c r="P248" i="2"/>
  <c r="P256" i="2"/>
  <c r="P264" i="2"/>
  <c r="P272" i="2"/>
  <c r="P280" i="2"/>
  <c r="P288" i="2"/>
  <c r="P283" i="2"/>
  <c r="P126" i="2"/>
  <c r="P134" i="2"/>
  <c r="P142" i="2"/>
  <c r="P150" i="2"/>
  <c r="P158" i="2"/>
  <c r="P166" i="2"/>
  <c r="P174" i="2"/>
  <c r="P182" i="2"/>
  <c r="P190" i="2"/>
  <c r="P198" i="2"/>
  <c r="P206" i="2"/>
  <c r="P214" i="2"/>
  <c r="P222" i="2"/>
  <c r="P230" i="2"/>
  <c r="P238" i="2"/>
  <c r="P246" i="2"/>
  <c r="P254" i="2"/>
  <c r="P262" i="2"/>
  <c r="P270" i="2"/>
  <c r="P278" i="2"/>
  <c r="P286" i="2"/>
  <c r="P298" i="2"/>
  <c r="P296" i="2"/>
  <c r="P301" i="2"/>
</calcChain>
</file>

<file path=xl/sharedStrings.xml><?xml version="1.0" encoding="utf-8"?>
<sst xmlns="http://schemas.openxmlformats.org/spreadsheetml/2006/main" count="1903" uniqueCount="362">
  <si>
    <t>Sample_ID</t>
  </si>
  <si>
    <t>Date</t>
  </si>
  <si>
    <t>Region</t>
  </si>
  <si>
    <t>Source_Type</t>
  </si>
  <si>
    <t>pH</t>
  </si>
  <si>
    <t>EC (µS/cm)</t>
  </si>
  <si>
    <t>TDS (mg/L)</t>
  </si>
  <si>
    <t>Hardness (mg/L)</t>
  </si>
  <si>
    <t>Nitrate (mg/L)</t>
  </si>
  <si>
    <t>Lead (mg/L)</t>
  </si>
  <si>
    <t>Temperature (°C)</t>
  </si>
  <si>
    <t>WQ-001</t>
  </si>
  <si>
    <t>WQ-002</t>
  </si>
  <si>
    <t>WQ-003</t>
  </si>
  <si>
    <t>WQ-004</t>
  </si>
  <si>
    <t>WQ-005</t>
  </si>
  <si>
    <t>WQ-006</t>
  </si>
  <si>
    <t>WQ-007</t>
  </si>
  <si>
    <t>WQ-008</t>
  </si>
  <si>
    <t>WQ-009</t>
  </si>
  <si>
    <t>WQ-010</t>
  </si>
  <si>
    <t>WQ-011</t>
  </si>
  <si>
    <t>WQ-012</t>
  </si>
  <si>
    <t>WQ-013</t>
  </si>
  <si>
    <t>WQ-014</t>
  </si>
  <si>
    <t>WQ-015</t>
  </si>
  <si>
    <t>WQ-016</t>
  </si>
  <si>
    <t>WQ-017</t>
  </si>
  <si>
    <t>WQ-018</t>
  </si>
  <si>
    <t>WQ-019</t>
  </si>
  <si>
    <t>WQ-020</t>
  </si>
  <si>
    <t>WQ-021</t>
  </si>
  <si>
    <t>WQ-022</t>
  </si>
  <si>
    <t>WQ-023</t>
  </si>
  <si>
    <t>WQ-024</t>
  </si>
  <si>
    <t>WQ-025</t>
  </si>
  <si>
    <t>WQ-026</t>
  </si>
  <si>
    <t>WQ-027</t>
  </si>
  <si>
    <t>WQ-028</t>
  </si>
  <si>
    <t>WQ-029</t>
  </si>
  <si>
    <t>WQ-030</t>
  </si>
  <si>
    <t>WQ-031</t>
  </si>
  <si>
    <t>WQ-032</t>
  </si>
  <si>
    <t>WQ-033</t>
  </si>
  <si>
    <t>WQ-034</t>
  </si>
  <si>
    <t>WQ-035</t>
  </si>
  <si>
    <t>WQ-036</t>
  </si>
  <si>
    <t>WQ-037</t>
  </si>
  <si>
    <t>WQ-038</t>
  </si>
  <si>
    <t>WQ-039</t>
  </si>
  <si>
    <t>WQ-040</t>
  </si>
  <si>
    <t>WQ-041</t>
  </si>
  <si>
    <t>WQ-042</t>
  </si>
  <si>
    <t>WQ-043</t>
  </si>
  <si>
    <t>WQ-044</t>
  </si>
  <si>
    <t>WQ-045</t>
  </si>
  <si>
    <t>WQ-046</t>
  </si>
  <si>
    <t>WQ-047</t>
  </si>
  <si>
    <t>WQ-048</t>
  </si>
  <si>
    <t>WQ-049</t>
  </si>
  <si>
    <t>WQ-050</t>
  </si>
  <si>
    <t>WQ-051</t>
  </si>
  <si>
    <t>WQ-052</t>
  </si>
  <si>
    <t>WQ-053</t>
  </si>
  <si>
    <t>WQ-054</t>
  </si>
  <si>
    <t>WQ-055</t>
  </si>
  <si>
    <t>WQ-056</t>
  </si>
  <si>
    <t>WQ-057</t>
  </si>
  <si>
    <t>WQ-058</t>
  </si>
  <si>
    <t>WQ-059</t>
  </si>
  <si>
    <t>WQ-060</t>
  </si>
  <si>
    <t>WQ-061</t>
  </si>
  <si>
    <t>WQ-062</t>
  </si>
  <si>
    <t>WQ-063</t>
  </si>
  <si>
    <t>WQ-064</t>
  </si>
  <si>
    <t>WQ-065</t>
  </si>
  <si>
    <t>WQ-066</t>
  </si>
  <si>
    <t>WQ-067</t>
  </si>
  <si>
    <t>WQ-068</t>
  </si>
  <si>
    <t>WQ-069</t>
  </si>
  <si>
    <t>WQ-070</t>
  </si>
  <si>
    <t>WQ-071</t>
  </si>
  <si>
    <t>WQ-072</t>
  </si>
  <si>
    <t>WQ-073</t>
  </si>
  <si>
    <t>WQ-074</t>
  </si>
  <si>
    <t>WQ-075</t>
  </si>
  <si>
    <t>WQ-076</t>
  </si>
  <si>
    <t>WQ-077</t>
  </si>
  <si>
    <t>WQ-078</t>
  </si>
  <si>
    <t>WQ-079</t>
  </si>
  <si>
    <t>WQ-080</t>
  </si>
  <si>
    <t>WQ-081</t>
  </si>
  <si>
    <t>WQ-082</t>
  </si>
  <si>
    <t>WQ-083</t>
  </si>
  <si>
    <t>WQ-084</t>
  </si>
  <si>
    <t>WQ-085</t>
  </si>
  <si>
    <t>WQ-086</t>
  </si>
  <si>
    <t>WQ-087</t>
  </si>
  <si>
    <t>WQ-088</t>
  </si>
  <si>
    <t>WQ-089</t>
  </si>
  <si>
    <t>WQ-090</t>
  </si>
  <si>
    <t>WQ-091</t>
  </si>
  <si>
    <t>WQ-092</t>
  </si>
  <si>
    <t>WQ-093</t>
  </si>
  <si>
    <t>WQ-094</t>
  </si>
  <si>
    <t>WQ-095</t>
  </si>
  <si>
    <t>WQ-096</t>
  </si>
  <si>
    <t>WQ-097</t>
  </si>
  <si>
    <t>WQ-098</t>
  </si>
  <si>
    <t>WQ-099</t>
  </si>
  <si>
    <t>WQ-100</t>
  </si>
  <si>
    <t>WQ-101</t>
  </si>
  <si>
    <t>WQ-102</t>
  </si>
  <si>
    <t>WQ-103</t>
  </si>
  <si>
    <t>WQ-104</t>
  </si>
  <si>
    <t>WQ-105</t>
  </si>
  <si>
    <t>WQ-106</t>
  </si>
  <si>
    <t>WQ-107</t>
  </si>
  <si>
    <t>WQ-108</t>
  </si>
  <si>
    <t>WQ-109</t>
  </si>
  <si>
    <t>WQ-110</t>
  </si>
  <si>
    <t>WQ-111</t>
  </si>
  <si>
    <t>WQ-112</t>
  </si>
  <si>
    <t>WQ-113</t>
  </si>
  <si>
    <t>WQ-114</t>
  </si>
  <si>
    <t>WQ-115</t>
  </si>
  <si>
    <t>WQ-116</t>
  </si>
  <si>
    <t>WQ-117</t>
  </si>
  <si>
    <t>WQ-118</t>
  </si>
  <si>
    <t>WQ-119</t>
  </si>
  <si>
    <t>WQ-120</t>
  </si>
  <si>
    <t>WQ-121</t>
  </si>
  <si>
    <t>WQ-122</t>
  </si>
  <si>
    <t>WQ-123</t>
  </si>
  <si>
    <t>WQ-124</t>
  </si>
  <si>
    <t>WQ-125</t>
  </si>
  <si>
    <t>WQ-126</t>
  </si>
  <si>
    <t>WQ-127</t>
  </si>
  <si>
    <t>WQ-128</t>
  </si>
  <si>
    <t>WQ-129</t>
  </si>
  <si>
    <t>WQ-130</t>
  </si>
  <si>
    <t>WQ-131</t>
  </si>
  <si>
    <t>WQ-132</t>
  </si>
  <si>
    <t>WQ-133</t>
  </si>
  <si>
    <t>WQ-134</t>
  </si>
  <si>
    <t>WQ-135</t>
  </si>
  <si>
    <t>WQ-136</t>
  </si>
  <si>
    <t>WQ-137</t>
  </si>
  <si>
    <t>WQ-138</t>
  </si>
  <si>
    <t>WQ-139</t>
  </si>
  <si>
    <t>WQ-140</t>
  </si>
  <si>
    <t>WQ-141</t>
  </si>
  <si>
    <t>WQ-142</t>
  </si>
  <si>
    <t>WQ-143</t>
  </si>
  <si>
    <t>WQ-144</t>
  </si>
  <si>
    <t>WQ-145</t>
  </si>
  <si>
    <t>WQ-146</t>
  </si>
  <si>
    <t>WQ-147</t>
  </si>
  <si>
    <t>WQ-148</t>
  </si>
  <si>
    <t>WQ-149</t>
  </si>
  <si>
    <t>WQ-150</t>
  </si>
  <si>
    <t>WQ-151</t>
  </si>
  <si>
    <t>WQ-152</t>
  </si>
  <si>
    <t>WQ-153</t>
  </si>
  <si>
    <t>WQ-154</t>
  </si>
  <si>
    <t>WQ-155</t>
  </si>
  <si>
    <t>WQ-156</t>
  </si>
  <si>
    <t>WQ-157</t>
  </si>
  <si>
    <t>WQ-158</t>
  </si>
  <si>
    <t>WQ-159</t>
  </si>
  <si>
    <t>WQ-160</t>
  </si>
  <si>
    <t>WQ-161</t>
  </si>
  <si>
    <t>WQ-162</t>
  </si>
  <si>
    <t>WQ-163</t>
  </si>
  <si>
    <t>WQ-164</t>
  </si>
  <si>
    <t>WQ-165</t>
  </si>
  <si>
    <t>WQ-166</t>
  </si>
  <si>
    <t>WQ-167</t>
  </si>
  <si>
    <t>WQ-168</t>
  </si>
  <si>
    <t>WQ-169</t>
  </si>
  <si>
    <t>WQ-170</t>
  </si>
  <si>
    <t>WQ-171</t>
  </si>
  <si>
    <t>WQ-172</t>
  </si>
  <si>
    <t>WQ-173</t>
  </si>
  <si>
    <t>WQ-174</t>
  </si>
  <si>
    <t>WQ-175</t>
  </si>
  <si>
    <t>WQ-176</t>
  </si>
  <si>
    <t>WQ-177</t>
  </si>
  <si>
    <t>WQ-178</t>
  </si>
  <si>
    <t>WQ-179</t>
  </si>
  <si>
    <t>WQ-180</t>
  </si>
  <si>
    <t>WQ-181</t>
  </si>
  <si>
    <t>WQ-182</t>
  </si>
  <si>
    <t>WQ-183</t>
  </si>
  <si>
    <t>WQ-184</t>
  </si>
  <si>
    <t>WQ-185</t>
  </si>
  <si>
    <t>WQ-186</t>
  </si>
  <si>
    <t>WQ-187</t>
  </si>
  <si>
    <t>WQ-188</t>
  </si>
  <si>
    <t>WQ-189</t>
  </si>
  <si>
    <t>WQ-190</t>
  </si>
  <si>
    <t>WQ-191</t>
  </si>
  <si>
    <t>WQ-192</t>
  </si>
  <si>
    <t>WQ-193</t>
  </si>
  <si>
    <t>WQ-194</t>
  </si>
  <si>
    <t>WQ-195</t>
  </si>
  <si>
    <t>WQ-196</t>
  </si>
  <si>
    <t>WQ-197</t>
  </si>
  <si>
    <t>WQ-198</t>
  </si>
  <si>
    <t>WQ-199</t>
  </si>
  <si>
    <t>WQ-200</t>
  </si>
  <si>
    <t>WQ-201</t>
  </si>
  <si>
    <t>WQ-202</t>
  </si>
  <si>
    <t>WQ-203</t>
  </si>
  <si>
    <t>WQ-204</t>
  </si>
  <si>
    <t>WQ-205</t>
  </si>
  <si>
    <t>WQ-206</t>
  </si>
  <si>
    <t>WQ-207</t>
  </si>
  <si>
    <t>WQ-208</t>
  </si>
  <si>
    <t>WQ-209</t>
  </si>
  <si>
    <t>WQ-210</t>
  </si>
  <si>
    <t>WQ-211</t>
  </si>
  <si>
    <t>WQ-212</t>
  </si>
  <si>
    <t>WQ-213</t>
  </si>
  <si>
    <t>WQ-214</t>
  </si>
  <si>
    <t>WQ-215</t>
  </si>
  <si>
    <t>WQ-216</t>
  </si>
  <si>
    <t>WQ-217</t>
  </si>
  <si>
    <t>WQ-218</t>
  </si>
  <si>
    <t>WQ-219</t>
  </si>
  <si>
    <t>WQ-220</t>
  </si>
  <si>
    <t>WQ-221</t>
  </si>
  <si>
    <t>WQ-222</t>
  </si>
  <si>
    <t>WQ-223</t>
  </si>
  <si>
    <t>WQ-224</t>
  </si>
  <si>
    <t>WQ-225</t>
  </si>
  <si>
    <t>WQ-226</t>
  </si>
  <si>
    <t>WQ-227</t>
  </si>
  <si>
    <t>WQ-228</t>
  </si>
  <si>
    <t>WQ-229</t>
  </si>
  <si>
    <t>WQ-230</t>
  </si>
  <si>
    <t>WQ-231</t>
  </si>
  <si>
    <t>WQ-232</t>
  </si>
  <si>
    <t>WQ-233</t>
  </si>
  <si>
    <t>WQ-234</t>
  </si>
  <si>
    <t>WQ-235</t>
  </si>
  <si>
    <t>WQ-236</t>
  </si>
  <si>
    <t>WQ-237</t>
  </si>
  <si>
    <t>WQ-238</t>
  </si>
  <si>
    <t>WQ-239</t>
  </si>
  <si>
    <t>WQ-240</t>
  </si>
  <si>
    <t>WQ-241</t>
  </si>
  <si>
    <t>WQ-242</t>
  </si>
  <si>
    <t>WQ-243</t>
  </si>
  <si>
    <t>WQ-244</t>
  </si>
  <si>
    <t>WQ-245</t>
  </si>
  <si>
    <t>WQ-246</t>
  </si>
  <si>
    <t>WQ-247</t>
  </si>
  <si>
    <t>WQ-248</t>
  </si>
  <si>
    <t>WQ-249</t>
  </si>
  <si>
    <t>WQ-250</t>
  </si>
  <si>
    <t>WQ-251</t>
  </si>
  <si>
    <t>WQ-252</t>
  </si>
  <si>
    <t>WQ-253</t>
  </si>
  <si>
    <t>WQ-254</t>
  </si>
  <si>
    <t>WQ-255</t>
  </si>
  <si>
    <t>WQ-256</t>
  </si>
  <si>
    <t>WQ-257</t>
  </si>
  <si>
    <t>WQ-258</t>
  </si>
  <si>
    <t>WQ-259</t>
  </si>
  <si>
    <t>WQ-260</t>
  </si>
  <si>
    <t>WQ-261</t>
  </si>
  <si>
    <t>WQ-262</t>
  </si>
  <si>
    <t>WQ-263</t>
  </si>
  <si>
    <t>WQ-264</t>
  </si>
  <si>
    <t>WQ-265</t>
  </si>
  <si>
    <t>WQ-266</t>
  </si>
  <si>
    <t>WQ-267</t>
  </si>
  <si>
    <t>WQ-268</t>
  </si>
  <si>
    <t>WQ-269</t>
  </si>
  <si>
    <t>WQ-270</t>
  </si>
  <si>
    <t>WQ-271</t>
  </si>
  <si>
    <t>WQ-272</t>
  </si>
  <si>
    <t>WQ-273</t>
  </si>
  <si>
    <t>WQ-274</t>
  </si>
  <si>
    <t>WQ-275</t>
  </si>
  <si>
    <t>WQ-276</t>
  </si>
  <si>
    <t>WQ-277</t>
  </si>
  <si>
    <t>WQ-278</t>
  </si>
  <si>
    <t>WQ-279</t>
  </si>
  <si>
    <t>WQ-280</t>
  </si>
  <si>
    <t>WQ-281</t>
  </si>
  <si>
    <t>WQ-282</t>
  </si>
  <si>
    <t>WQ-283</t>
  </si>
  <si>
    <t>WQ-284</t>
  </si>
  <si>
    <t>WQ-285</t>
  </si>
  <si>
    <t>WQ-286</t>
  </si>
  <si>
    <t>WQ-287</t>
  </si>
  <si>
    <t>WQ-288</t>
  </si>
  <si>
    <t>WQ-289</t>
  </si>
  <si>
    <t>WQ-290</t>
  </si>
  <si>
    <t>WQ-291</t>
  </si>
  <si>
    <t>WQ-292</t>
  </si>
  <si>
    <t>WQ-293</t>
  </si>
  <si>
    <t>WQ-294</t>
  </si>
  <si>
    <t>WQ-295</t>
  </si>
  <si>
    <t>WQ-296</t>
  </si>
  <si>
    <t>WQ-297</t>
  </si>
  <si>
    <t>WQ-298</t>
  </si>
  <si>
    <t>WQ-299</t>
  </si>
  <si>
    <t>WQ-300</t>
  </si>
  <si>
    <t>West Zone</t>
  </si>
  <si>
    <t>River</t>
  </si>
  <si>
    <t>North Zone</t>
  </si>
  <si>
    <t>Central Zone</t>
  </si>
  <si>
    <t>Groundwater</t>
  </si>
  <si>
    <t>East Zone</t>
  </si>
  <si>
    <t>South Zone</t>
  </si>
  <si>
    <t>Tap Water</t>
  </si>
  <si>
    <t>pH_Status</t>
  </si>
  <si>
    <t>Nitrate_Status</t>
  </si>
  <si>
    <t>Lead_Status</t>
  </si>
  <si>
    <t>Overall_Status</t>
  </si>
  <si>
    <t>Row Labels</t>
  </si>
  <si>
    <t>Contaminated</t>
  </si>
  <si>
    <t>Safe</t>
  </si>
  <si>
    <t>Grand Total</t>
  </si>
  <si>
    <t>Count of Overall_Status</t>
  </si>
  <si>
    <t>Column Labels</t>
  </si>
  <si>
    <t>Month</t>
  </si>
  <si>
    <t>Jan</t>
  </si>
  <si>
    <t>Feb</t>
  </si>
  <si>
    <t>Mar</t>
  </si>
  <si>
    <t>Apr</t>
  </si>
  <si>
    <t>May</t>
  </si>
  <si>
    <t>Jun</t>
  </si>
  <si>
    <t>Jul</t>
  </si>
  <si>
    <t>Aug</t>
  </si>
  <si>
    <t>Sep</t>
  </si>
  <si>
    <t>Oct</t>
  </si>
  <si>
    <t>Nov</t>
  </si>
  <si>
    <t>Dec</t>
  </si>
  <si>
    <t>Average of Nitrate (mg/L)</t>
  </si>
  <si>
    <t>Nitrate levels show higher concentration during summer months, possibly due to agricultural runoff and evaporation effects.</t>
  </si>
  <si>
    <t>Unsafe</t>
  </si>
  <si>
    <t>Count of pH_Status</t>
  </si>
  <si>
    <t>Count of Nitrate_Status</t>
  </si>
  <si>
    <t>Count of Lead_Status</t>
  </si>
  <si>
    <t>Parameter</t>
  </si>
  <si>
    <t>Failure%</t>
  </si>
  <si>
    <t>Nitrate</t>
  </si>
  <si>
    <t>Lead</t>
  </si>
  <si>
    <t>pH failure rate = 31.33%</t>
  </si>
  <si>
    <t>Nitrate failure rate = 35%</t>
  </si>
  <si>
    <t>Lead failure rate = 42.67%</t>
  </si>
  <si>
    <t>Lead contamination indicates possible corrosion in distribution systems or industrial discharge.</t>
  </si>
  <si>
    <t>Approximately 26.67% of water samples exceeded the WHO safe limits for at least one parameter.</t>
  </si>
  <si>
    <t>North Zone shows the highest contamination frequency, indicating possible groundwater quality concerns.</t>
  </si>
  <si>
    <t>Tap Water is the Highest risk</t>
  </si>
  <si>
    <t>Lead exceedance is the primary contributor to overall contamination.</t>
  </si>
  <si>
    <t>Water Quality Contamination Analysis (2022)</t>
  </si>
  <si>
    <t>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</si>
</sst>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theme="1"/>
      <name val="Times New Roman"/>
      <family val="1"/>
    </font>
    <font>
      <b/>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14" fontId="0" fillId="0" borderId="0" xfId="0" applyNumberFormat="1"/>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pivotButton="1" applyFont="1"/>
    <xf numFmtId="0" fontId="2" fillId="0" borderId="0" xfId="0" applyFont="1"/>
    <xf numFmtId="0" fontId="2" fillId="0" borderId="0" xfId="0" applyFont="1" applyAlignment="1">
      <alignment horizontal="left"/>
    </xf>
    <xf numFmtId="10" fontId="2" fillId="0" borderId="0" xfId="0" applyNumberFormat="1" applyFont="1"/>
    <xf numFmtId="0" fontId="2" fillId="0" borderId="0" xfId="0" applyFont="1" applyAlignment="1">
      <alignment vertical="center"/>
    </xf>
    <xf numFmtId="0" fontId="2" fillId="0" borderId="0" xfId="0" pivotButton="1" applyFont="1" applyAlignment="1">
      <alignment horizontal="center" vertical="center"/>
    </xf>
    <xf numFmtId="10" fontId="2" fillId="0" borderId="0" xfId="0" applyNumberFormat="1" applyFont="1" applyAlignment="1">
      <alignment horizontal="center" vertical="center"/>
    </xf>
    <xf numFmtId="9" fontId="2" fillId="0" borderId="0" xfId="0" applyNumberFormat="1" applyFont="1" applyAlignment="1">
      <alignment horizontal="center" vertical="center"/>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3" fillId="3" borderId="1" xfId="0" applyFont="1" applyFill="1" applyBorder="1" applyAlignment="1">
      <alignment horizontal="center" vertical="center"/>
    </xf>
  </cellXfs>
  <cellStyles count="1">
    <cellStyle name="Normal" xfId="0" builtinId="0"/>
  </cellStyles>
  <dxfs count="108">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9" formatCode="m/d/yyyy"/>
      <alignment horizontal="center" vertical="center" textRotation="0" wrapText="0" indent="0" justifyLastLine="0" shrinkToFit="0" readingOrder="0"/>
    </dxf>
    <dxf>
      <font>
        <strike val="0"/>
        <outline val="0"/>
        <shadow val="0"/>
        <u val="none"/>
        <vertAlign val="baseline"/>
        <sz val="11"/>
        <color theme="1"/>
        <name val="Times New Roman"/>
        <family val="1"/>
        <scheme val="none"/>
      </font>
      <numFmt numFmtId="19" formatCode="m/d/yyyy"/>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[Water_Quality_data.xlsx]Contamination by Region!PivotTable2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400" b="1" i="0" u="none" strike="noStrike" baseline="0">
                <a:solidFill>
                  <a:schemeClr val="dk1"/>
                </a:solidFill>
                <a:latin typeface="+mn-lt"/>
                <a:ea typeface="+mn-ea"/>
                <a:cs typeface="+mn-cs"/>
              </a:rPr>
              <a:t>Contamination Rate by Region</a:t>
            </a:r>
            <a:endParaRPr lang="en-US" b="1"/>
          </a:p>
        </c:rich>
      </c:tx>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'Contamination by Region'!$B$2:$B$3</c:f>
              <c:strCache>
                <c:ptCount val="1"/>
                <c:pt idx="0">
                  <c:v>Contaminated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'Contamination by Region'!$A$4:$A$9</c:f>
              <c:strCache>
                <c:ptCount val="5"/>
                <c:pt idx="0">
                  <c:v>Central Zone</c:v>
                </c:pt>
                <c:pt idx="1">
                  <c:v>East Zone</c:v>
                </c:pt>
                <c:pt idx="2">
                  <c:v>North Zone</c:v>
                </c:pt>
                <c:pt idx="3">
                  <c:v>South Zone</c:v>
                </c:pt>
                <c:pt idx="4">
                  <c:v>West Zone</c:v>
                </c:pt>
              </c:strCache>
            </c:strRef>
          </c:cat>
          <c:val>
            <c:numRef>
              <c:f>'Contamination by Region'!$B$4:$B$9</c:f>
              <c:numCache>
                <c:formatCode>0.00%</c:formatCode>
                <c:ptCount val="5"/>
                <c:pt idx="0">
                  <c:v>0.74193548387096775</c:v>
                </c:pt>
                <c:pt idx="1">
                  <c:v>0.70588235294117652</c:v>
                </c:pt>
                <c:pt idx="2">
                  <c:v>0.76190476190476186</c:v>
                </c:pt>
                <c:pt idx="3">
                  <c:v>0.76363636363636367</c:v>
                </c:pt>
                <c:pt idx="4">
                  <c:v>0.69565217391304346</c:v>
                </c:pt>
              </c:numCache>
            </c:numRef>
          </c:val>
          <c:extLst>
            <c:ext xmlns:c16="http://schemas.microsoft.com/office/drawing/2014/chart" uri="{C3380CC4-5D6E-409C-BE32-E72D297353CC}">
              <c16:uniqueId val="{00000000-9B32-4F58-AA09-50E042CEF4FA}"/>
            </c:ext>
          </c:extLst>
        </c:ser>
        <c:ser>
          <c:idx val="1"/>
          <c:order val="1"/>
          <c:tx>
            <c:strRef>
              <c:f>'Contamination by Region'!$C$2:$C$3</c:f>
              <c:strCache>
                <c:ptCount val="1"/>
                <c:pt idx="0">
                  <c:v>Safe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'Contamination by Region'!$A$4:$A$9</c:f>
              <c:strCache>
                <c:ptCount val="5"/>
                <c:pt idx="0">
                  <c:v>Central Zone</c:v>
                </c:pt>
                <c:pt idx="1">
                  <c:v>East Zone</c:v>
                </c:pt>
                <c:pt idx="2">
                  <c:v>North Zone</c:v>
                </c:pt>
                <c:pt idx="3">
                  <c:v>South Zone</c:v>
                </c:pt>
                <c:pt idx="4">
                  <c:v>West Zone</c:v>
                </c:pt>
              </c:strCache>
            </c:strRef>
          </c:cat>
          <c:val>
            <c:numRef>
              <c:f>'Contamination by Region'!$C$4:$C$9</c:f>
              <c:numCache>
                <c:formatCode>0.00%</c:formatCode>
                <c:ptCount val="5"/>
                <c:pt idx="0">
                  <c:v>0.25806451612903225</c:v>
                </c:pt>
                <c:pt idx="1">
                  <c:v>0.29411764705882354</c:v>
                </c:pt>
                <c:pt idx="2">
                  <c:v>0.23809523809523808</c:v>
                </c:pt>
                <c:pt idx="3">
                  <c:v>0.23636363636363636</c:v>
                </c:pt>
                <c:pt idx="4">
                  <c:v>0.30434782608695654</c:v>
                </c:pt>
              </c:numCache>
            </c:numRef>
          </c:val>
          <c:extLst>
            <c:ext xmlns:c16="http://schemas.microsoft.com/office/drawing/2014/chart" uri="{C3380CC4-5D6E-409C-BE32-E72D297353CC}">
              <c16:uniqueId val="{00000004-9B32-4F58-AA09-50E042CEF4FA}"/>
            </c:ext>
          </c:extLst>
        </c:ser>
        <c:dLbls>
          <c:dLblPos val="inEnd"/>
          <c:showLegendKey val="0"/>
          <c:showVal val="1"/>
          <c:showCatName val="0"/>
          <c:showSerName val="0"/>
          <c:showPercent val="0"/>
          <c:showBubbleSize val="0"/>
        </c:dLbls>
        <c:gapWidth val="182"/>
        <c:axId val="952242704"/>
        <c:axId val="952241264"/>
      </c:barChart>
      <c:catAx>
        <c:axId val="952242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52241264"/>
        <c:crosses val="autoZero"/>
        <c:auto val="1"/>
        <c:lblAlgn val="ctr"/>
        <c:lblOffset val="100"/>
        <c:noMultiLvlLbl val="0"/>
      </c:catAx>
      <c:valAx>
        <c:axId val="9522412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5224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[Water_Quality_data.xlsx]Risk by Source Type!PivotTable3</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solidFill>
                  <a:schemeClr val="dk1"/>
                </a:solidFill>
                <a:latin typeface="+mn-lt"/>
                <a:ea typeface="+mn-ea"/>
                <a:cs typeface="+mn-cs"/>
              </a:rPr>
              <a:t>Contamination by Source Type</a:t>
            </a:r>
            <a:endParaRPr lang="en-US" b="1"/>
          </a:p>
        </c:rich>
      </c:tx>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'Risk by Source Type'!$B$2:$B$3</c:f>
              <c:strCache>
                <c:ptCount val="1"/>
                <c:pt idx="0">
                  <c:v>Contaminated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by Source Type'!$A$4:$A$7</c:f>
              <c:strCache>
                <c:ptCount val="3"/>
                <c:pt idx="0">
                  <c:v>Groundwater</c:v>
                </c:pt>
                <c:pt idx="1">
                  <c:v>River</c:v>
                </c:pt>
                <c:pt idx="2">
                  <c:v>Tap Water</c:v>
                </c:pt>
              </c:strCache>
            </c:strRef>
          </c:cat>
          <c:val>
            <c:numRef>
              <c:f>'Risk by Source Type'!$B$4:$B$7</c:f>
              <c:numCache>
                <c:formatCode>0.00%</c:formatCode>
                <c:ptCount val="3"/>
                <c:pt idx="0">
                  <c:v>0.7142857142857143</c:v>
                </c:pt>
                <c:pt idx="1">
                  <c:v>0.7142857142857143</c:v>
                </c:pt>
                <c:pt idx="2">
                  <c:v>0.77777777777777779</c:v>
                </c:pt>
              </c:numCache>
            </c:numRef>
          </c:val>
          <c:extLst>
            <c:ext xmlns:c16="http://schemas.microsoft.com/office/drawing/2014/chart" uri="{C3380CC4-5D6E-409C-BE32-E72D297353CC}">
              <c16:uniqueId val="{00000000-B627-48D3-BB6B-1456AAA02F1D}"/>
            </c:ext>
          </c:extLst>
        </c:ser>
        <c:ser>
          <c:idx val="1"/>
          <c:order val="1"/>
          <c:tx>
            <c:strRef>
              <c:f>'Risk by Source Type'!$C$2:$C$3</c:f>
              <c:strCache>
                <c:ptCount val="1"/>
                <c:pt idx="0">
                  <c:v>Safe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by Source Type'!$A$4:$A$7</c:f>
              <c:strCache>
                <c:ptCount val="3"/>
                <c:pt idx="0">
                  <c:v>Groundwater</c:v>
                </c:pt>
                <c:pt idx="1">
                  <c:v>River</c:v>
                </c:pt>
                <c:pt idx="2">
                  <c:v>Tap Water</c:v>
                </c:pt>
              </c:strCache>
            </c:strRef>
          </c:cat>
          <c:val>
            <c:numRef>
              <c:f>'Risk by Source Type'!$C$4:$C$7</c:f>
              <c:numCache>
                <c:formatCode>0.00%</c:formatCode>
                <c:ptCount val="3"/>
                <c:pt idx="0">
                  <c:v>0.2857142857142857</c:v>
                </c:pt>
                <c:pt idx="1">
                  <c:v>0.2857142857142857</c:v>
                </c:pt>
                <c:pt idx="2">
                  <c:v>0.22222222222222221</c:v>
                </c:pt>
              </c:numCache>
            </c:numRef>
          </c:val>
          <c:extLst>
            <c:ext xmlns:c16="http://schemas.microsoft.com/office/drawing/2014/chart" uri="{C3380CC4-5D6E-409C-BE32-E72D297353CC}">
              <c16:uniqueId val="{00000001-B627-48D3-BB6B-1456AAA02F1D}"/>
            </c:ext>
          </c:extLst>
        </c:ser>
        <c:dLbls>
          <c:dLblPos val="inEnd"/>
          <c:showLegendKey val="0"/>
          <c:showVal val="1"/>
          <c:showCatName val="0"/>
          <c:showSerName val="0"/>
          <c:showPercent val="0"/>
          <c:showBubbleSize val="0"/>
        </c:dLbls>
        <c:gapWidth val="182"/>
        <c:axId val="952243664"/>
        <c:axId val="952244624"/>
      </c:barChart>
      <c:catAx>
        <c:axId val="95224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52244624"/>
        <c:crosses val="autoZero"/>
        <c:auto val="1"/>
        <c:lblAlgn val="ctr"/>
        <c:lblOffset val="100"/>
        <c:noMultiLvlLbl val="0"/>
      </c:catAx>
      <c:valAx>
        <c:axId val="9522446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5224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[Water_Quality_data.xlsx]Seasonal Nitrate Trend!PivotTable10</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cap="none" spc="0">
                <a:ln w="0"/>
                <a:solidFill>
                  <a:schemeClr val="dk1"/>
                </a:solidFill>
                <a:effectLst>
                  <a:outerShdw blurRad="38100" dist="25400" dir="5400000" algn="ctr" rotWithShape="0">
                    <a:srgbClr val="6E747A">
                      <a:alpha val="43000"/>
                    </a:srgbClr>
                  </a:outerShdw>
                </a:effectLst>
                <a:latin typeface="+mn-lt"/>
                <a:ea typeface="+mn-ea"/>
                <a:cs typeface="+mn-cs"/>
              </a:rPr>
              <a:t>Seasonal Nitrate Trend</a:t>
            </a:r>
            <a:endParaRPr lang="en-US" b="1" cap="none" spc="0">
              <a:ln w="0"/>
              <a:solidFill>
                <a:schemeClr val="accent1"/>
              </a:solidFill>
              <a:effectLst>
                <a:outerShdw blurRad="38100" dist="25400" dir="5400000" algn="ctr" rotWithShape="0">
                  <a:srgbClr val="6E747A">
                    <a:alpha val="43000"/>
                  </a:srgbClr>
                </a:outerShdw>
              </a:effectLst>
            </a:endParaRPr>
          </a:p>
        </c:rich>
      </c:tx>
      <c:layout>
        <c:manualLayout>
          <c:xMode val="edge"/>
          <c:yMode val="edge"/>
          <c:x val="0.31310600637730202"/>
          <c:y val="0.10715634715402272"/>
        </c:manualLayout>
      </c:layout>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ln w="1270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'Seasonal Nitrate Trend'!$B$2</c:f>
              <c:strCache>
                <c:ptCount val="1"/>
                <c:pt idx="0">
                  <c:v>Total</c:v>
                </c:pt>
              </c:strCache>
            </c:strRef>
          </c:tx>
          <c:spPr>
            <a:ln w="12700" cap="flat" cmpd="sng" algn="ctr">
              <a:solidFill>
                <a:schemeClr val="accent2"/>
              </a:solidFill>
              <a:prstDash val="solid"/>
              <a:miter lim="800000"/>
            </a:ln>
            <a:effectLst/>
          </c:spPr>
          <c:marker>
            <c:symbol val="none"/>
          </c:marker>
          <c:cat>
            <c:strRef>
              <c:f>'Seasonal Nitrate Trend'!$A$3:$A$15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 Nitrate Trend'!$B$3:$B$15</c:f>
              <c:numCache>
                <c:formatCode>General</c:formatCode>
                <c:ptCount val="12"/>
                <c:pt idx="0">
                  <c:v>29</c:v>
                </c:pt>
                <c:pt idx="1">
                  <c:v>47.153846153846153</c:v>
                </c:pt>
                <c:pt idx="2">
                  <c:v>34.44</c:v>
                </c:pt>
                <c:pt idx="3">
                  <c:v>40.454545454545453</c:v>
                </c:pt>
                <c:pt idx="4">
                  <c:v>36.642857142857146</c:v>
                </c:pt>
                <c:pt idx="5">
                  <c:v>39.5</c:v>
                </c:pt>
                <c:pt idx="6">
                  <c:v>40.518518518518519</c:v>
                </c:pt>
                <c:pt idx="7">
                  <c:v>38.840000000000003</c:v>
                </c:pt>
                <c:pt idx="8">
                  <c:v>37.307692307692307</c:v>
                </c:pt>
                <c:pt idx="9">
                  <c:v>42.913043478260867</c:v>
                </c:pt>
                <c:pt idx="10">
                  <c:v>35.913043478260867</c:v>
                </c:pt>
                <c:pt idx="11">
                  <c:v>28.095238095238095</c:v>
                </c:pt>
              </c:numCache>
            </c:numRef>
          </c:val>
          <c:smooth val="0"/>
          <c:extLst>
            <c:ext xmlns:c16="http://schemas.microsoft.com/office/drawing/2014/chart" uri="{C3380CC4-5D6E-409C-BE32-E72D297353CC}">
              <c16:uniqueId val="{00000000-759F-47F7-BDE9-442DAB952D0A}"/>
            </c:ext>
          </c:extLst>
        </c:ser>
        <c:dLbls>
          <c:showLegendKey val="0"/>
          <c:showVal val="0"/>
          <c:showCatName val="0"/>
          <c:showSerName val="0"/>
          <c:showPercent val="0"/>
          <c:showBubbleSize val="0"/>
        </c:dLbls>
        <c:smooth val="0"/>
        <c:axId val="1135685936"/>
        <c:axId val="1135688336"/>
      </c:lineChart>
      <c:catAx>
        <c:axId val="113568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35688336"/>
        <c:crosses val="autoZero"/>
        <c:auto val="1"/>
        <c:lblAlgn val="ctr"/>
        <c:lblOffset val="100"/>
        <c:noMultiLvlLbl val="0"/>
      </c:catAx>
      <c:valAx>
        <c:axId val="113568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3568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sz="1400" b="1" i="0" u="none" strike="noStrike" baseline="0"/>
              <a:t>Parameter Exceedance Comparison</a:t>
            </a:r>
            <a:endParaRPr lang="en-US" b="1"/>
          </a:p>
        </c:rich>
      </c:tx>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lotArea>
      <c:layout/>
      <c:barChart>
        <c:barDir val="bar"/>
        <c:grouping val="clustered"/>
        <c:varyColors val="0"/>
        <c:ser>
          <c:idx val="0"/>
          <c:order val="0"/>
          <c:tx>
            <c:strRef>
              <c:f>'Most Failures '!$G$3</c:f>
              <c:strCache>
                <c:ptCount val="1"/>
                <c:pt idx="0">
                  <c:v>pH</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'Most Failures '!$H$3</c:f>
              <c:numCache>
                <c:formatCode>0.00%</c:formatCode>
                <c:ptCount val="1"/>
                <c:pt idx="0">
                  <c:v>0.31330000000000002</c:v>
                </c:pt>
              </c:numCache>
            </c:numRef>
          </c:val>
          <c:extLst>
            <c:ext xmlns:c16="http://schemas.microsoft.com/office/drawing/2014/chart" uri="{C3380CC4-5D6E-409C-BE32-E72D297353CC}">
              <c16:uniqueId val="{00000000-1F08-4CB5-BA7A-AF432094B989}"/>
            </c:ext>
          </c:extLst>
        </c:ser>
        <c:ser>
          <c:idx val="1"/>
          <c:order val="1"/>
          <c:tx>
            <c:strRef>
              <c:f>'Most Failures '!$G$4</c:f>
              <c:strCache>
                <c:ptCount val="1"/>
                <c:pt idx="0">
                  <c:v>Nitrate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'Most Failures '!$H$4</c:f>
              <c:numCache>
                <c:formatCode>0%</c:formatCode>
                <c:ptCount val="1"/>
                <c:pt idx="0">
                  <c:v>0.35</c:v>
                </c:pt>
              </c:numCache>
            </c:numRef>
          </c:val>
          <c:extLst>
            <c:ext xmlns:c16="http://schemas.microsoft.com/office/drawing/2014/chart" uri="{C3380CC4-5D6E-409C-BE32-E72D297353CC}">
              <c16:uniqueId val="{00000001-1F08-4CB5-BA7A-AF432094B989}"/>
            </c:ext>
          </c:extLst>
        </c:ser>
        <c:ser>
          <c:idx val="2"/>
          <c:order val="2"/>
          <c:tx>
            <c:strRef>
              <c:f>'Most Failures '!$G$5</c:f>
              <c:strCache>
                <c:ptCount val="1"/>
                <c:pt idx="0">
                  <c:v>Lead</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'Most Failures '!$H$5</c:f>
              <c:numCache>
                <c:formatCode>0.00%</c:formatCode>
                <c:ptCount val="1"/>
                <c:pt idx="0">
                  <c:v>0.42670000000000002</c:v>
                </c:pt>
              </c:numCache>
            </c:numRef>
          </c:val>
          <c:extLst>
            <c:ext xmlns:c16="http://schemas.microsoft.com/office/drawing/2014/chart" uri="{C3380CC4-5D6E-409C-BE32-E72D297353CC}">
              <c16:uniqueId val="{00000002-1F08-4CB5-BA7A-AF432094B989}"/>
            </c:ext>
          </c:extLst>
        </c:ser>
        <c:dLbls>
          <c:dLblPos val="inEnd"/>
          <c:showLegendKey val="0"/>
          <c:showVal val="1"/>
          <c:showCatName val="0"/>
          <c:showSerName val="0"/>
          <c:showPercent val="0"/>
          <c:showBubbleSize val="0"/>
        </c:dLbls>
        <c:gapWidth val="182"/>
        <c:axId val="1135648976"/>
        <c:axId val="1135650416"/>
      </c:barChart>
      <c:catAx>
        <c:axId val="113564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35650416"/>
        <c:crosses val="autoZero"/>
        <c:auto val="1"/>
        <c:lblAlgn val="ctr"/>
        <c:lblOffset val="100"/>
        <c:noMultiLvlLbl val="0"/>
      </c:catAx>
      <c:valAx>
        <c:axId val="11356504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35648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[Water_Quality_data.xlsx]Contamination by Region!PivotTable2</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400" b="1" i="0" u="none" strike="noStrike" baseline="0">
                <a:solidFill>
                  <a:schemeClr val="dk1"/>
                </a:solidFill>
                <a:latin typeface="+mn-lt"/>
                <a:ea typeface="+mn-ea"/>
                <a:cs typeface="+mn-cs"/>
              </a:rPr>
              <a:t>Contamination Rate by Region</a:t>
            </a:r>
            <a:endParaRPr lang="en-US" b="1"/>
          </a:p>
        </c:rich>
      </c:tx>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'Contamination by Region'!$B$2:$B$3</c:f>
              <c:strCache>
                <c:ptCount val="1"/>
                <c:pt idx="0">
                  <c:v>Contaminated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'Contamination by Region'!$A$4:$A$9</c:f>
              <c:strCache>
                <c:ptCount val="5"/>
                <c:pt idx="0">
                  <c:v>Central Zone</c:v>
                </c:pt>
                <c:pt idx="1">
                  <c:v>East Zone</c:v>
                </c:pt>
                <c:pt idx="2">
                  <c:v>North Zone</c:v>
                </c:pt>
                <c:pt idx="3">
                  <c:v>South Zone</c:v>
                </c:pt>
                <c:pt idx="4">
                  <c:v>West Zone</c:v>
                </c:pt>
              </c:strCache>
            </c:strRef>
          </c:cat>
          <c:val>
            <c:numRef>
              <c:f>'Contamination by Region'!$B$4:$B$9</c:f>
              <c:numCache>
                <c:formatCode>0.00%</c:formatCode>
                <c:ptCount val="5"/>
                <c:pt idx="0">
                  <c:v>0.74193548387096775</c:v>
                </c:pt>
                <c:pt idx="1">
                  <c:v>0.70588235294117652</c:v>
                </c:pt>
                <c:pt idx="2">
                  <c:v>0.76190476190476186</c:v>
                </c:pt>
                <c:pt idx="3">
                  <c:v>0.76363636363636367</c:v>
                </c:pt>
                <c:pt idx="4">
                  <c:v>0.69565217391304346</c:v>
                </c:pt>
              </c:numCache>
            </c:numRef>
          </c:val>
          <c:extLst>
            <c:ext xmlns:c16="http://schemas.microsoft.com/office/drawing/2014/chart" uri="{C3380CC4-5D6E-409C-BE32-E72D297353CC}">
              <c16:uniqueId val="{00000000-49D3-407A-AFA2-F918B8E68B74}"/>
            </c:ext>
          </c:extLst>
        </c:ser>
        <c:ser>
          <c:idx val="1"/>
          <c:order val="1"/>
          <c:tx>
            <c:strRef>
              <c:f>'Contamination by Region'!$C$2:$C$3</c:f>
              <c:strCache>
                <c:ptCount val="1"/>
                <c:pt idx="0">
                  <c:v>Safe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'Contamination by Region'!$A$4:$A$9</c:f>
              <c:strCache>
                <c:ptCount val="5"/>
                <c:pt idx="0">
                  <c:v>Central Zone</c:v>
                </c:pt>
                <c:pt idx="1">
                  <c:v>East Zone</c:v>
                </c:pt>
                <c:pt idx="2">
                  <c:v>North Zone</c:v>
                </c:pt>
                <c:pt idx="3">
                  <c:v>South Zone</c:v>
                </c:pt>
                <c:pt idx="4">
                  <c:v>West Zone</c:v>
                </c:pt>
              </c:strCache>
            </c:strRef>
          </c:cat>
          <c:val>
            <c:numRef>
              <c:f>'Contamination by Region'!$C$4:$C$9</c:f>
              <c:numCache>
                <c:formatCode>0.00%</c:formatCode>
                <c:ptCount val="5"/>
                <c:pt idx="0">
                  <c:v>0.25806451612903225</c:v>
                </c:pt>
                <c:pt idx="1">
                  <c:v>0.29411764705882354</c:v>
                </c:pt>
                <c:pt idx="2">
                  <c:v>0.23809523809523808</c:v>
                </c:pt>
                <c:pt idx="3">
                  <c:v>0.23636363636363636</c:v>
                </c:pt>
                <c:pt idx="4">
                  <c:v>0.30434782608695654</c:v>
                </c:pt>
              </c:numCache>
            </c:numRef>
          </c:val>
          <c:extLst>
            <c:ext xmlns:c16="http://schemas.microsoft.com/office/drawing/2014/chart" uri="{C3380CC4-5D6E-409C-BE32-E72D297353CC}">
              <c16:uniqueId val="{00000004-49D3-407A-AFA2-F918B8E68B74}"/>
            </c:ext>
          </c:extLst>
        </c:ser>
        <c:dLbls>
          <c:dLblPos val="inEnd"/>
          <c:showLegendKey val="0"/>
          <c:showVal val="1"/>
          <c:showCatName val="0"/>
          <c:showSerName val="0"/>
          <c:showPercent val="0"/>
          <c:showBubbleSize val="0"/>
        </c:dLbls>
        <c:gapWidth val="182"/>
        <c:axId val="952242704"/>
        <c:axId val="952241264"/>
      </c:barChart>
      <c:catAx>
        <c:axId val="952242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52241264"/>
        <c:crosses val="autoZero"/>
        <c:auto val="1"/>
        <c:lblAlgn val="ctr"/>
        <c:lblOffset val="100"/>
        <c:noMultiLvlLbl val="0"/>
      </c:catAx>
      <c:valAx>
        <c:axId val="9522412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5224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[Water_Quality_data.xlsx]Risk by Source Type!PivotTable3</c:name>
    <c:fmtId val="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solidFill>
                  <a:schemeClr val="dk1"/>
                </a:solidFill>
                <a:latin typeface="+mn-lt"/>
                <a:ea typeface="+mn-ea"/>
                <a:cs typeface="+mn-cs"/>
              </a:rPr>
              <a:t>Contamination by Source Type</a:t>
            </a:r>
            <a:endParaRPr lang="en-US" b="1"/>
          </a:p>
        </c:rich>
      </c:tx>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'Risk by Source Type'!$B$2:$B$3</c:f>
              <c:strCache>
                <c:ptCount val="1"/>
                <c:pt idx="0">
                  <c:v>Contaminated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by Source Type'!$A$4:$A$7</c:f>
              <c:strCache>
                <c:ptCount val="3"/>
                <c:pt idx="0">
                  <c:v>Groundwater</c:v>
                </c:pt>
                <c:pt idx="1">
                  <c:v>River</c:v>
                </c:pt>
                <c:pt idx="2">
                  <c:v>Tap Water</c:v>
                </c:pt>
              </c:strCache>
            </c:strRef>
          </c:cat>
          <c:val>
            <c:numRef>
              <c:f>'Risk by Source Type'!$B$4:$B$7</c:f>
              <c:numCache>
                <c:formatCode>0.00%</c:formatCode>
                <c:ptCount val="3"/>
                <c:pt idx="0">
                  <c:v>0.7142857142857143</c:v>
                </c:pt>
                <c:pt idx="1">
                  <c:v>0.7142857142857143</c:v>
                </c:pt>
                <c:pt idx="2">
                  <c:v>0.77777777777777779</c:v>
                </c:pt>
              </c:numCache>
            </c:numRef>
          </c:val>
          <c:extLst>
            <c:ext xmlns:c16="http://schemas.microsoft.com/office/drawing/2014/chart" uri="{C3380CC4-5D6E-409C-BE32-E72D297353CC}">
              <c16:uniqueId val="{00000000-E62B-4F3E-8AB3-AE9680134AF6}"/>
            </c:ext>
          </c:extLst>
        </c:ser>
        <c:ser>
          <c:idx val="1"/>
          <c:order val="1"/>
          <c:tx>
            <c:strRef>
              <c:f>'Risk by Source Type'!$C$2:$C$3</c:f>
              <c:strCache>
                <c:ptCount val="1"/>
                <c:pt idx="0">
                  <c:v>Safe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by Source Type'!$A$4:$A$7</c:f>
              <c:strCache>
                <c:ptCount val="3"/>
                <c:pt idx="0">
                  <c:v>Groundwater</c:v>
                </c:pt>
                <c:pt idx="1">
                  <c:v>River</c:v>
                </c:pt>
                <c:pt idx="2">
                  <c:v>Tap Water</c:v>
                </c:pt>
              </c:strCache>
            </c:strRef>
          </c:cat>
          <c:val>
            <c:numRef>
              <c:f>'Risk by Source Type'!$C$4:$C$7</c:f>
              <c:numCache>
                <c:formatCode>0.00%</c:formatCode>
                <c:ptCount val="3"/>
                <c:pt idx="0">
                  <c:v>0.2857142857142857</c:v>
                </c:pt>
                <c:pt idx="1">
                  <c:v>0.2857142857142857</c:v>
                </c:pt>
                <c:pt idx="2">
                  <c:v>0.22222222222222221</c:v>
                </c:pt>
              </c:numCache>
            </c:numRef>
          </c:val>
          <c:extLst>
            <c:ext xmlns:c16="http://schemas.microsoft.com/office/drawing/2014/chart" uri="{C3380CC4-5D6E-409C-BE32-E72D297353CC}">
              <c16:uniqueId val="{00000001-E62B-4F3E-8AB3-AE9680134AF6}"/>
            </c:ext>
          </c:extLst>
        </c:ser>
        <c:dLbls>
          <c:dLblPos val="inEnd"/>
          <c:showLegendKey val="0"/>
          <c:showVal val="1"/>
          <c:showCatName val="0"/>
          <c:showSerName val="0"/>
          <c:showPercent val="0"/>
          <c:showBubbleSize val="0"/>
        </c:dLbls>
        <c:gapWidth val="182"/>
        <c:axId val="952243664"/>
        <c:axId val="952244624"/>
      </c:barChart>
      <c:catAx>
        <c:axId val="95224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52244624"/>
        <c:crosses val="autoZero"/>
        <c:auto val="1"/>
        <c:lblAlgn val="ctr"/>
        <c:lblOffset val="100"/>
        <c:noMultiLvlLbl val="0"/>
      </c:catAx>
      <c:valAx>
        <c:axId val="9522446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5224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[Water_Quality_data.xlsx]Seasonal Nitrate Trend!PivotTable10</c:name>
    <c:fmtId val="8"/>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cap="none" spc="0">
                <a:ln w="0"/>
                <a:solidFill>
                  <a:schemeClr val="dk1"/>
                </a:solidFill>
                <a:effectLst>
                  <a:outerShdw blurRad="38100" dist="25400" dir="5400000" algn="ctr" rotWithShape="0">
                    <a:srgbClr val="6E747A">
                      <a:alpha val="43000"/>
                    </a:srgbClr>
                  </a:outerShdw>
                </a:effectLst>
                <a:latin typeface="+mn-lt"/>
                <a:ea typeface="+mn-ea"/>
                <a:cs typeface="+mn-cs"/>
              </a:rPr>
              <a:t>Seasonal Nitrate Trend</a:t>
            </a:r>
            <a:endParaRPr lang="en-US" b="1" cap="none" spc="0">
              <a:ln w="0"/>
              <a:solidFill>
                <a:schemeClr val="accent1"/>
              </a:solidFill>
              <a:effectLst>
                <a:outerShdw blurRad="38100" dist="25400" dir="5400000" algn="ctr" rotWithShape="0">
                  <a:srgbClr val="6E747A">
                    <a:alpha val="43000"/>
                  </a:srgbClr>
                </a:outerShdw>
              </a:effectLst>
            </a:endParaRPr>
          </a:p>
        </c:rich>
      </c:tx>
      <c:layout>
        <c:manualLayout>
          <c:xMode val="edge"/>
          <c:yMode val="edge"/>
          <c:x val="0.41066700438058701"/>
          <c:y val="0.10207161240004675"/>
        </c:manualLayout>
      </c:layout>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270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'Seasonal Nitrate Trend'!$B$2</c:f>
              <c:strCache>
                <c:ptCount val="1"/>
                <c:pt idx="0">
                  <c:v>Total</c:v>
                </c:pt>
              </c:strCache>
            </c:strRef>
          </c:tx>
          <c:spPr>
            <a:ln w="12700" cap="flat" cmpd="sng" algn="ctr">
              <a:solidFill>
                <a:schemeClr val="accent2"/>
              </a:solidFill>
              <a:prstDash val="solid"/>
              <a:miter lim="800000"/>
            </a:ln>
            <a:effectLst/>
          </c:spPr>
          <c:marker>
            <c:symbol val="none"/>
          </c:marker>
          <c:cat>
            <c:strRef>
              <c:f>'Seasonal Nitrate Trend'!$A$3:$A$15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'Seasonal Nitrate Trend'!$B$3:$B$15</c:f>
              <c:numCache>
                <c:formatCode>General</c:formatCode>
                <c:ptCount val="12"/>
                <c:pt idx="0">
                  <c:v>29</c:v>
                </c:pt>
                <c:pt idx="1">
                  <c:v>47.153846153846153</c:v>
                </c:pt>
                <c:pt idx="2">
                  <c:v>34.44</c:v>
                </c:pt>
                <c:pt idx="3">
                  <c:v>40.454545454545453</c:v>
                </c:pt>
                <c:pt idx="4">
                  <c:v>36.642857142857146</c:v>
                </c:pt>
                <c:pt idx="5">
                  <c:v>39.5</c:v>
                </c:pt>
                <c:pt idx="6">
                  <c:v>40.518518518518519</c:v>
                </c:pt>
                <c:pt idx="7">
                  <c:v>38.840000000000003</c:v>
                </c:pt>
                <c:pt idx="8">
                  <c:v>37.307692307692307</c:v>
                </c:pt>
                <c:pt idx="9">
                  <c:v>42.913043478260867</c:v>
                </c:pt>
                <c:pt idx="10">
                  <c:v>35.913043478260867</c:v>
                </c:pt>
                <c:pt idx="11">
                  <c:v>28.095238095238095</c:v>
                </c:pt>
              </c:numCache>
            </c:numRef>
          </c:val>
          <c:smooth val="0"/>
          <c:extLst>
            <c:ext xmlns:c16="http://schemas.microsoft.com/office/drawing/2014/chart" uri="{C3380CC4-5D6E-409C-BE32-E72D297353CC}">
              <c16:uniqueId val="{00000000-4D77-44A1-B5C0-4939229D5701}"/>
            </c:ext>
          </c:extLst>
        </c:ser>
        <c:dLbls>
          <c:showLegendKey val="0"/>
          <c:showVal val="0"/>
          <c:showCatName val="0"/>
          <c:showSerName val="0"/>
          <c:showPercent val="0"/>
          <c:showBubbleSize val="0"/>
        </c:dLbls>
        <c:smooth val="0"/>
        <c:axId val="1135685936"/>
        <c:axId val="1135688336"/>
      </c:lineChart>
      <c:catAx>
        <c:axId val="113568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35688336"/>
        <c:crosses val="autoZero"/>
        <c:auto val="1"/>
        <c:lblAlgn val="ctr"/>
        <c:lblOffset val="100"/>
        <c:noMultiLvlLbl val="0"/>
      </c:catAx>
      <c:valAx>
        <c:axId val="113568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3568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406400</xdr:colOff>
      <xdr:row>1</xdr:row>
      <xdr:rowOff>15875</xdr:rowOff>
    </xdr:from>
    <xdr:to>
      <xdr:col>12</xdr:col>
      <xdr:colOff>101600</xdr:colOff>
      <xdr:row>16</xdr:row>
      <xdr:rowOff>92075</xdr:rowOff>
    </xdr:to>
    <xdr:graphicFrame macro="">
      <xdr:nvGraphicFramePr>
        <xdr:cNvPr id="2" name="Chart 1">
          <a:extLst>
            <a:ext uri="{FF2B5EF4-FFF2-40B4-BE49-F238E27FC236}">
              <a16:creationId xmlns:a16="http://schemas.microsoft.com/office/drawing/2014/main" id="{1442D151-B92F-A205-8CB6-83240AEEB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1</xdr:row>
      <xdr:rowOff>9525</xdr:rowOff>
    </xdr:from>
    <xdr:to>
      <xdr:col>12</xdr:col>
      <xdr:colOff>314325</xdr:colOff>
      <xdr:row>16</xdr:row>
      <xdr:rowOff>85725</xdr:rowOff>
    </xdr:to>
    <xdr:graphicFrame macro="">
      <xdr:nvGraphicFramePr>
        <xdr:cNvPr id="2" name="Chart 1">
          <a:extLst>
            <a:ext uri="{FF2B5EF4-FFF2-40B4-BE49-F238E27FC236}">
              <a16:creationId xmlns:a16="http://schemas.microsoft.com/office/drawing/2014/main" id="{94440370-6603-47C9-F326-96F420557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323850</xdr:colOff>
      <xdr:row>1</xdr:row>
      <xdr:rowOff>9525</xdr:rowOff>
    </xdr:from>
    <xdr:to>
      <xdr:col>10</xdr:col>
      <xdr:colOff>57150</xdr:colOff>
      <xdr:row>15</xdr:row>
      <xdr:rowOff>12700</xdr:rowOff>
    </xdr:to>
    <xdr:graphicFrame macro="">
      <xdr:nvGraphicFramePr>
        <xdr:cNvPr id="2" name="Chart 1">
          <a:extLst>
            <a:ext uri="{FF2B5EF4-FFF2-40B4-BE49-F238E27FC236}">
              <a16:creationId xmlns:a16="http://schemas.microsoft.com/office/drawing/2014/main" id="{9A749FDD-D84C-3A88-45BD-A3AEAFADF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225425</xdr:colOff>
      <xdr:row>0</xdr:row>
      <xdr:rowOff>79375</xdr:rowOff>
    </xdr:from>
    <xdr:to>
      <xdr:col>15</xdr:col>
      <xdr:colOff>530225</xdr:colOff>
      <xdr:row>15</xdr:row>
      <xdr:rowOff>60325</xdr:rowOff>
    </xdr:to>
    <xdr:graphicFrame macro="">
      <xdr:nvGraphicFramePr>
        <xdr:cNvPr id="2" name="Chart 1">
          <a:extLst>
            <a:ext uri="{FF2B5EF4-FFF2-40B4-BE49-F238E27FC236}">
              <a16:creationId xmlns:a16="http://schemas.microsoft.com/office/drawing/2014/main" id="{6DC0E53D-E46D-AD3D-8889-FD7DE5671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7937</xdr:colOff>
      <xdr:row>1</xdr:row>
      <xdr:rowOff>1</xdr:rowOff>
    </xdr:from>
    <xdr:to>
      <xdr:col>13</xdr:col>
      <xdr:colOff>127000</xdr:colOff>
      <xdr:row>31</xdr:row>
      <xdr:rowOff>137583</xdr:rowOff>
    </xdr:to>
    <xdr:graphicFrame macro="">
      <xdr:nvGraphicFramePr>
        <xdr:cNvPr id="3" name="Chart 2">
          <a:extLst>
            <a:ext uri="{FF2B5EF4-FFF2-40B4-BE49-F238E27FC236}">
              <a16:creationId xmlns:a16="http://schemas.microsoft.com/office/drawing/2014/main" id="{0C7D0E74-135F-4B9D-8E73-78B46CBDE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137585</xdr:colOff>
      <xdr:row>0</xdr:row>
      <xdr:rowOff>175042</xdr:rowOff>
    </xdr:from>
    <xdr:to>
      <xdr:col>28</xdr:col>
      <xdr:colOff>31751</xdr:colOff>
      <xdr:row>17</xdr:row>
      <xdr:rowOff>148166</xdr:rowOff>
    </xdr:to>
    <xdr:graphicFrame macro="">
      <xdr:nvGraphicFramePr>
        <xdr:cNvPr id="5" name="Chart 4">
          <a:extLst>
            <a:ext uri="{FF2B5EF4-FFF2-40B4-BE49-F238E27FC236}">
              <a16:creationId xmlns:a16="http://schemas.microsoft.com/office/drawing/2014/main" id="{44E36766-3376-47C0-998A-F2C35B5FC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137584</xdr:colOff>
      <xdr:row>17</xdr:row>
      <xdr:rowOff>158750</xdr:rowOff>
    </xdr:from>
    <xdr:to>
      <xdr:col>28</xdr:col>
      <xdr:colOff>42333</xdr:colOff>
      <xdr:row>31</xdr:row>
      <xdr:rowOff>137584</xdr:rowOff>
    </xdr:to>
    <xdr:graphicFrame macro="">
      <xdr:nvGraphicFramePr>
        <xdr:cNvPr id="6" name="Chart 5">
          <a:extLst>
            <a:ext uri="{FF2B5EF4-FFF2-40B4-BE49-F238E27FC236}">
              <a16:creationId xmlns:a16="http://schemas.microsoft.com/office/drawing/2014/main" id="{B2BB6017-E1FF-46B3-A633-14A738307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28</xdr:col>
      <xdr:colOff>42334</xdr:colOff>
      <xdr:row>1</xdr:row>
      <xdr:rowOff>19049</xdr:rowOff>
    </xdr:from>
    <xdr:to>
      <xdr:col>32</xdr:col>
      <xdr:colOff>21166</xdr:colOff>
      <xdr:row>17</xdr:row>
      <xdr:rowOff>158750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D1FE959-C8F8-58E4-7466-361841DDAE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229667" y="198966"/>
              <a:ext cx="2434166" cy="3018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63499</xdr:colOff>
      <xdr:row>17</xdr:row>
      <xdr:rowOff>158751</xdr:rowOff>
    </xdr:from>
    <xdr:to>
      <xdr:col>32</xdr:col>
      <xdr:colOff>10582</xdr:colOff>
      <xdr:row>31</xdr:row>
      <xdr:rowOff>137583</xdr:rowOff>
    </xdr:to>
    <mc:AlternateContent xmlns:mc="http://schemas.openxmlformats.org/markup-compatibility/2006" xmlns:a14="http://schemas.microsoft.com/office/drawing/2010/main">
      <mc:Choice Requires="a14">
        <xdr:graphicFrame macro="">
          <xdr:nvGraphicFramePr>
            <xdr:cNvPr id="8" name="Source_Type">
              <a:extLst>
                <a:ext uri="{FF2B5EF4-FFF2-40B4-BE49-F238E27FC236}">
                  <a16:creationId xmlns:a16="http://schemas.microsoft.com/office/drawing/2014/main" id="{7CB0FD7B-2129-4C0B-2AF6-D2469B010235}"/>
                </a:ext>
              </a:extLst>
            </xdr:cNvPr>
            <xdr:cNvGraphicFramePr/>
          </xdr:nvGraphicFramePr>
          <xdr:xfrm>
            <a:off x="0" y="0"/>
            <a:ext cx="0" cy="0"/>
          </xdr:xfrm>
          <a:graphic>
            <a:graphicData uri="http://schemas.microsoft.com/office/drawing/2010/slicer">
              <sle:slicer xmlns:sle="http://schemas.microsoft.com/office/drawing/2010/slicer" name="Source_Type"/>
            </a:graphicData>
          </a:graphic>
        </xdr:graphicFrame>
      </mc:Choice>
      <mc:Fallback xmlns="">
        <xdr:sp macro="" textlink="">
          <xdr:nvSpPr>
            <xdr:cNvPr id="0" name=""/>
            <xdr:cNvSpPr>
              <a:spLocks noTextEdit="1"/>
            </xdr:cNvSpPr>
          </xdr:nvSpPr>
          <xdr:spPr>
            <a:xfrm>
              <a:off x="17250832" y="3217334"/>
              <a:ext cx="2402417" cy="2497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aid" refreshedDate="46080.972796064816" createdVersion="8" refreshedVersion="8" minRefreshableVersion="3" recordCount="300" xr:uid="{E094AA39-7DEB-43D4-B603-4B88A8AC3B59}">
  <cacheSource type="worksheet">
    <worksheetSource name="Table1"/>
  </cacheSource>
  <cacheFields count="16">
    <cacheField name="Sample_ID" numFmtId="0">
      <sharedItems/>
    </cacheField>
    <cacheField name="Date" numFmtId="14">
      <sharedItems containsSemiMixedTypes="0" containsNonDate="0" containsDate="1" containsString="0" minDate="2022-01-02T00:00:00" maxDate="2022-12-29T00:00:00"/>
    </cacheField>
    <cacheField name="Month" numFmtId="14">
      <sharedItems count="12">
        <s v="Jul"/>
        <s v="Aug"/>
        <s v="Dec"/>
        <s v="Apr"/>
        <s v="Jun"/>
        <s v="Jan"/>
        <s v="Nov"/>
        <s v="Mar"/>
        <s v="Feb"/>
        <s v="May"/>
        <s v="Oct"/>
        <s v="Sep"/>
      </sharedItems>
    </cacheField>
    <cacheField name="Region" numFmtId="0">
      <sharedItems count="5">
        <s v="North Zone"/>
        <s v="East Zone"/>
        <s v="Central Zone"/>
        <s v="West Zone"/>
        <s v="South Zone"/>
      </sharedItems>
    </cacheField>
    <cacheField name="Source_Type" numFmtId="0">
      <sharedItems count="3">
        <s v="River"/>
        <s v="Tap Water"/>
        <s v="Groundwater"/>
      </sharedItems>
    </cacheField>
    <cacheField name="pH" numFmtId="0">
      <sharedItems containsSemiMixedTypes="0" containsString="0" containsNumber="1" minValue="6" maxValue="9" count="31">
        <n v="6.7"/>
        <n v="8.9"/>
        <n v="6.9"/>
        <n v="6.8"/>
        <n v="7.3"/>
        <n v="7.5"/>
        <n v="6.5"/>
        <n v="9"/>
        <n v="7.8"/>
        <n v="8.4"/>
        <n v="7.2"/>
        <n v="6.4"/>
        <n v="8.1"/>
        <n v="7.4"/>
        <n v="6.6"/>
        <n v="6.2"/>
        <n v="8.5"/>
        <n v="8.3000000000000007"/>
        <n v="8.1999999999999993"/>
        <n v="8.6999999999999993"/>
        <n v="7"/>
        <n v="8.6"/>
        <n v="8"/>
        <n v="6.3"/>
        <n v="6.1"/>
        <n v="6"/>
        <n v="8.8000000000000007"/>
        <n v="7.1"/>
        <n v="7.9"/>
        <n v="7.6"/>
        <n v="7.7"/>
      </sharedItems>
    </cacheField>
    <cacheField name="EC (µS/cm)" numFmtId="0">
      <sharedItems containsSemiMixedTypes="0" containsString="0" containsNumber="1" containsInteger="1" minValue="208" maxValue="1796" count="276">
        <n v="216"/>
        <n v="309"/>
        <n v="1473"/>
        <n v="266"/>
        <n v="1753"/>
        <n v="1286"/>
        <n v="1348"/>
        <n v="456"/>
        <n v="1305"/>
        <n v="1082"/>
        <n v="786"/>
        <n v="695"/>
        <n v="1657"/>
        <n v="325"/>
        <n v="1427"/>
        <n v="1698"/>
        <n v="1794"/>
        <n v="208"/>
        <n v="1000"/>
        <n v="452"/>
        <n v="239"/>
        <n v="1470"/>
        <n v="1003"/>
        <n v="287"/>
        <n v="1741"/>
        <n v="280"/>
        <n v="1460"/>
        <n v="944"/>
        <n v="639"/>
        <n v="1692"/>
        <n v="1289"/>
        <n v="883"/>
        <n v="1153"/>
        <n v="1634"/>
        <n v="1630"/>
        <n v="1196"/>
        <n v="1500"/>
        <n v="569"/>
        <n v="1756"/>
        <n v="804"/>
        <n v="1182"/>
        <n v="546"/>
        <n v="1399"/>
        <n v="501"/>
        <n v="694"/>
        <n v="1227"/>
        <n v="1147"/>
        <n v="1555"/>
        <n v="744"/>
        <n v="572"/>
        <n v="1694"/>
        <n v="1568"/>
        <n v="226"/>
        <n v="1086"/>
        <n v="1066"/>
        <n v="799"/>
        <n v="1714"/>
        <n v="565"/>
        <n v="1445"/>
        <n v="1578"/>
        <n v="508"/>
        <n v="994"/>
        <n v="895"/>
        <n v="531"/>
        <n v="1565"/>
        <n v="451"/>
        <n v="1063"/>
        <n v="211"/>
        <n v="1706"/>
        <n v="298"/>
        <n v="252"/>
        <n v="858"/>
        <n v="1619"/>
        <n v="1773"/>
        <n v="676"/>
        <n v="403"/>
        <n v="622"/>
        <n v="589"/>
        <n v="770"/>
        <n v="1122"/>
        <n v="1548"/>
        <n v="1600"/>
        <n v="1223"/>
        <n v="510"/>
        <n v="1461"/>
        <n v="1502"/>
        <n v="371"/>
        <n v="595"/>
        <n v="1648"/>
        <n v="1667"/>
        <n v="591"/>
        <n v="1791"/>
        <n v="962"/>
        <n v="1179"/>
        <n v="1036"/>
        <n v="1302"/>
        <n v="1390"/>
        <n v="965"/>
        <n v="1683"/>
        <n v="341"/>
        <n v="396"/>
        <n v="1767"/>
        <n v="662"/>
        <n v="319"/>
        <n v="1046"/>
        <n v="543"/>
        <n v="820"/>
        <n v="760"/>
        <n v="1622"/>
        <n v="335"/>
        <n v="467"/>
        <n v="1598"/>
        <n v="1262"/>
        <n v="806"/>
        <n v="454"/>
        <n v="896"/>
        <n v="1156"/>
        <n v="506"/>
        <n v="1587"/>
        <n v="1713"/>
        <n v="855"/>
        <n v="1337"/>
        <n v="1680"/>
        <n v="301"/>
        <n v="674"/>
        <n v="1769"/>
        <n v="1534"/>
        <n v="817"/>
        <n v="1368"/>
        <n v="1001"/>
        <n v="1472"/>
        <n v="677"/>
        <n v="998"/>
        <n v="1092"/>
        <n v="1528"/>
        <n v="220"/>
        <n v="1737"/>
        <n v="1067"/>
        <n v="934"/>
        <n v="533"/>
        <n v="1126"/>
        <n v="435"/>
        <n v="876"/>
        <n v="791"/>
        <n v="1712"/>
        <n v="629"/>
        <n v="974"/>
        <n v="1131"/>
        <n v="1056"/>
        <n v="838"/>
        <n v="324"/>
        <n v="761"/>
        <n v="959"/>
        <n v="1596"/>
        <n v="499"/>
        <n v="970"/>
        <n v="1013"/>
        <n v="1170"/>
        <n v="1733"/>
        <n v="1228"/>
        <n v="443"/>
        <n v="1695"/>
        <n v="592"/>
        <n v="1516"/>
        <n v="1763"/>
        <n v="716"/>
        <n v="388"/>
        <n v="1255"/>
        <n v="1064"/>
        <n v="1497"/>
        <n v="1754"/>
        <n v="1285"/>
        <n v="920"/>
        <n v="1661"/>
        <n v="930"/>
        <n v="384"/>
        <n v="1351"/>
        <n v="796"/>
        <n v="623"/>
        <n v="710"/>
        <n v="707"/>
        <n v="773"/>
        <n v="1038"/>
        <n v="1335"/>
        <n v="1249"/>
        <n v="1485"/>
        <n v="951"/>
        <n v="1581"/>
        <n v="1559"/>
        <n v="956"/>
        <n v="1073"/>
        <n v="308"/>
        <n v="369"/>
        <n v="1796"/>
        <n v="475"/>
        <n v="1259"/>
        <n v="1164"/>
        <n v="597"/>
        <n v="1503"/>
        <n v="286"/>
        <n v="1688"/>
        <n v="1311"/>
        <n v="1614"/>
        <n v="1069"/>
        <n v="912"/>
        <n v="833"/>
        <n v="496"/>
        <n v="729"/>
        <n v="1395"/>
        <n v="566"/>
        <n v="1183"/>
        <n v="414"/>
        <n v="757"/>
        <n v="967"/>
        <n v="787"/>
        <n v="539"/>
        <n v="903"/>
        <n v="1232"/>
        <n v="1482"/>
        <n v="1070"/>
        <n v="1247"/>
        <n v="877"/>
        <n v="1629"/>
        <n v="823"/>
        <n v="551"/>
        <n v="1340"/>
        <n v="304"/>
        <n v="1489"/>
        <n v="600"/>
        <n v="732"/>
        <n v="1203"/>
        <n v="972"/>
        <n v="294"/>
        <n v="1545"/>
        <n v="1425"/>
        <n v="1215"/>
        <n v="1582"/>
        <n v="1012"/>
        <n v="747"/>
        <n v="1157"/>
        <n v="1609"/>
        <n v="684"/>
        <n v="520"/>
        <n v="1152"/>
        <n v="406"/>
        <n v="1442"/>
        <n v="985"/>
        <n v="634"/>
        <n v="801"/>
        <n v="1562"/>
        <n v="428"/>
        <n v="288"/>
        <n v="1777"/>
        <n v="1041"/>
        <n v="939"/>
        <n v="1141"/>
        <n v="253"/>
        <n v="1175"/>
        <n v="361"/>
        <n v="212"/>
        <n v="768"/>
        <n v="605"/>
        <n v="209"/>
        <n v="1134"/>
        <n v="331"/>
        <n v="1344"/>
        <n v="999"/>
        <n v="673"/>
        <n v="412"/>
        <n v="936"/>
        <n v="1171"/>
        <n v="255"/>
        <n v="875"/>
        <n v="714"/>
        <n v="516"/>
        <n v="1435"/>
      </sharedItems>
    </cacheField>
    <cacheField name="TDS (mg/L)" numFmtId="0">
      <sharedItems containsSemiMixedTypes="0" containsString="0" containsNumber="1" containsInteger="1" minValue="103" maxValue="1198" count="261">
        <n v="541"/>
        <n v="928"/>
        <n v="274"/>
        <n v="103"/>
        <n v="917"/>
        <n v="875"/>
        <n v="680"/>
        <n v="257"/>
        <n v="683"/>
        <n v="723"/>
        <n v="1022"/>
        <n v="905"/>
        <n v="516"/>
        <n v="536"/>
        <n v="441"/>
        <n v="1027"/>
        <n v="144"/>
        <n v="648"/>
        <n v="351"/>
        <n v="1188"/>
        <n v="459"/>
        <n v="270"/>
        <n v="1080"/>
        <n v="210"/>
        <n v="745"/>
        <n v="639"/>
        <n v="907"/>
        <n v="161"/>
        <n v="943"/>
        <n v="760"/>
        <n v="544"/>
        <n v="350"/>
        <n v="1006"/>
        <n v="261"/>
        <n v="979"/>
        <n v="304"/>
        <n v="187"/>
        <n v="593"/>
        <n v="942"/>
        <n v="602"/>
        <n v="1183"/>
        <n v="838"/>
        <n v="1028"/>
        <n v="860"/>
        <n v="763"/>
        <n v="784"/>
        <n v="294"/>
        <n v="128"/>
        <n v="1187"/>
        <n v="758"/>
        <n v="715"/>
        <n v="1135"/>
        <n v="481"/>
        <n v="262"/>
        <n v="792"/>
        <n v="391"/>
        <n v="817"/>
        <n v="845"/>
        <n v="1138"/>
        <n v="1160"/>
        <n v="1084"/>
        <n v="1037"/>
        <n v="716"/>
        <n v="809"/>
        <n v="250"/>
        <n v="559"/>
        <n v="1024"/>
        <n v="319"/>
        <n v="699"/>
        <n v="1127"/>
        <n v="1134"/>
        <n v="693"/>
        <n v="768"/>
        <n v="929"/>
        <n v="833"/>
        <n v="1051"/>
        <n v="853"/>
        <n v="964"/>
        <n v="855"/>
        <n v="164"/>
        <n v="631"/>
        <n v="818"/>
        <n v="798"/>
        <n v="291"/>
        <n v="793"/>
        <n v="479"/>
        <n v="1048"/>
        <n v="1038"/>
        <n v="150"/>
        <n v="384"/>
        <n v="824"/>
        <n v="890"/>
        <n v="224"/>
        <n v="764"/>
        <n v="272"/>
        <n v="608"/>
        <n v="218"/>
        <n v="287"/>
        <n v="633"/>
        <n v="813"/>
        <n v="480"/>
        <n v="947"/>
        <n v="448"/>
        <n v="119"/>
        <n v="133"/>
        <n v="597"/>
        <n v="1124"/>
        <n v="181"/>
        <n v="867"/>
        <n v="106"/>
        <n v="529"/>
        <n v="834"/>
        <n v="960"/>
        <n v="241"/>
        <n v="248"/>
        <n v="663"/>
        <n v="609"/>
        <n v="1114"/>
        <n v="426"/>
        <n v="206"/>
        <n v="136"/>
        <n v="345"/>
        <n v="1189"/>
        <n v="379"/>
        <n v="1198"/>
        <n v="500"/>
        <n v="1140"/>
        <n v="429"/>
        <n v="453"/>
        <n v="598"/>
        <n v="135"/>
        <n v="652"/>
        <n v="202"/>
        <n v="545"/>
        <n v="999"/>
        <n v="667"/>
        <n v="1161"/>
        <n v="165"/>
        <n v="1072"/>
        <n v="1010"/>
        <n v="1192"/>
        <n v="537"/>
        <n v="742"/>
        <n v="175"/>
        <n v="113"/>
        <n v="542"/>
        <n v="238"/>
        <n v="327"/>
        <n v="215"/>
        <n v="229"/>
        <n v="306"/>
        <n v="1146"/>
        <n v="1148"/>
        <n v="177"/>
        <n v="988"/>
        <n v="970"/>
        <n v="361"/>
        <n v="127"/>
        <n v="511"/>
        <n v="564"/>
        <n v="1057"/>
        <n v="759"/>
        <n v="372"/>
        <n v="255"/>
        <n v="920"/>
        <n v="120"/>
        <n v="743"/>
        <n v="212"/>
        <n v="1157"/>
        <n v="791"/>
        <n v="1023"/>
        <n v="653"/>
        <n v="821"/>
        <n v="189"/>
        <n v="606"/>
        <n v="703"/>
        <n v="788"/>
        <n v="927"/>
        <n v="179"/>
        <n v="1125"/>
        <n v="1179"/>
        <n v="574"/>
        <n v="456"/>
        <n v="464"/>
        <n v="396"/>
        <n v="918"/>
        <n v="925"/>
        <n v="539"/>
        <n v="727"/>
        <n v="540"/>
        <n v="225"/>
        <n v="803"/>
        <n v="953"/>
        <n v="1097"/>
        <n v="450"/>
        <n v="216"/>
        <n v="782"/>
        <n v="1005"/>
        <n v="506"/>
        <n v="665"/>
        <n v="533"/>
        <n v="547"/>
        <n v="484"/>
        <n v="628"/>
        <n v="475"/>
        <n v="939"/>
        <n v="509"/>
        <n v="674"/>
        <n v="1014"/>
        <n v="435"/>
        <n v="933"/>
        <n v="1113"/>
        <n v="556"/>
        <n v="382"/>
        <n v="586"/>
        <n v="622"/>
        <n v="826"/>
        <n v="389"/>
        <n v="852"/>
        <n v="550"/>
        <n v="1067"/>
        <n v="886"/>
        <n v="496"/>
        <n v="701"/>
        <n v="219"/>
        <n v="525"/>
        <n v="1162"/>
        <n v="1095"/>
        <n v="568"/>
        <n v="1129"/>
        <n v="273"/>
        <n v="778"/>
        <n v="278"/>
        <n v="651"/>
        <n v="623"/>
        <n v="1185"/>
        <n v="168"/>
        <n v="362"/>
        <n v="1058"/>
        <n v="1011"/>
        <n v="767"/>
        <n v="249"/>
        <n v="926"/>
        <n v="557"/>
        <n v="847"/>
        <n v="972"/>
        <n v="748"/>
        <n v="948"/>
        <n v="1055"/>
        <n v="910"/>
        <n v="141"/>
        <n v="892"/>
        <n v="919"/>
        <n v="420"/>
        <n v="499"/>
        <n v="370"/>
        <n v="371"/>
        <n v="328"/>
        <n v="440"/>
        <n v="776"/>
        <n v="990"/>
      </sharedItems>
    </cacheField>
    <cacheField name="Hardness (mg/L)" numFmtId="0">
      <sharedItems containsSemiMixedTypes="0" containsString="0" containsNumber="1" containsInteger="1" minValue="60" maxValue="396" count="200">
        <n v="292"/>
        <n v="216"/>
        <n v="270"/>
        <n v="152"/>
        <n v="329"/>
        <n v="299"/>
        <n v="194"/>
        <n v="232"/>
        <n v="233"/>
        <n v="120"/>
        <n v="255"/>
        <n v="60"/>
        <n v="72"/>
        <n v="159"/>
        <n v="344"/>
        <n v="355"/>
        <n v="109"/>
        <n v="306"/>
        <n v="239"/>
        <n v="90"/>
        <n v="183"/>
        <n v="334"/>
        <n v="337"/>
        <n v="332"/>
        <n v="368"/>
        <n v="370"/>
        <n v="252"/>
        <n v="169"/>
        <n v="382"/>
        <n v="125"/>
        <n v="184"/>
        <n v="273"/>
        <n v="176"/>
        <n v="76"/>
        <n v="200"/>
        <n v="394"/>
        <n v="342"/>
        <n v="317"/>
        <n v="210"/>
        <n v="112"/>
        <n v="314"/>
        <n v="107"/>
        <n v="136"/>
        <n v="275"/>
        <n v="104"/>
        <n v="77"/>
        <n v="222"/>
        <n v="113"/>
        <n v="362"/>
        <n v="274"/>
        <n v="82"/>
        <n v="211"/>
        <n v="114"/>
        <n v="80"/>
        <n v="165"/>
        <n v="346"/>
        <n v="231"/>
        <n v="74"/>
        <n v="282"/>
        <n v="320"/>
        <n v="103"/>
        <n v="97"/>
        <n v="264"/>
        <n v="102"/>
        <n v="289"/>
        <n v="71"/>
        <n v="312"/>
        <n v="202"/>
        <n v="357"/>
        <n v="212"/>
        <n v="187"/>
        <n v="369"/>
        <n v="331"/>
        <n v="294"/>
        <n v="395"/>
        <n v="219"/>
        <n v="126"/>
        <n v="135"/>
        <n v="66"/>
        <n v="86"/>
        <n v="242"/>
        <n v="364"/>
        <n v="199"/>
        <n v="396"/>
        <n v="367"/>
        <n v="266"/>
        <n v="186"/>
        <n v="131"/>
        <n v="123"/>
        <n v="108"/>
        <n v="204"/>
        <n v="318"/>
        <n v="230"/>
        <n v="343"/>
        <n v="290"/>
        <n v="94"/>
        <n v="172"/>
        <n v="249"/>
        <n v="321"/>
        <n v="156"/>
        <n v="127"/>
        <n v="261"/>
        <n v="73"/>
        <n v="209"/>
        <n v="190"/>
        <n v="336"/>
        <n v="161"/>
        <n v="277"/>
        <n v="276"/>
        <n v="234"/>
        <n v="93"/>
        <n v="326"/>
        <n v="160"/>
        <n v="371"/>
        <n v="384"/>
        <n v="262"/>
        <n v="83"/>
        <n v="390"/>
        <n v="144"/>
        <n v="327"/>
        <n v="303"/>
        <n v="145"/>
        <n v="180"/>
        <n v="111"/>
        <n v="64"/>
        <n v="189"/>
        <n v="163"/>
        <n v="110"/>
        <n v="62"/>
        <n v="248"/>
        <n v="245"/>
        <n v="361"/>
        <n v="340"/>
        <n v="325"/>
        <n v="173"/>
        <n v="208"/>
        <n v="269"/>
        <n v="237"/>
        <n v="263"/>
        <n v="117"/>
        <n v="95"/>
        <n v="375"/>
        <n v="87"/>
        <n v="132"/>
        <n v="335"/>
        <n v="253"/>
        <n v="272"/>
        <n v="386"/>
        <n v="316"/>
        <n v="151"/>
        <n v="63"/>
        <n v="280"/>
        <n v="148"/>
        <n v="310"/>
        <n v="106"/>
        <n v="238"/>
        <n v="182"/>
        <n v="256"/>
        <n v="128"/>
        <n v="365"/>
        <n v="122"/>
        <n v="391"/>
        <n v="330"/>
        <n v="385"/>
        <n v="193"/>
        <n v="228"/>
        <n v="121"/>
        <n v="195"/>
        <n v="243"/>
        <n v="240"/>
        <n v="178"/>
        <n v="61"/>
        <n v="380"/>
        <n v="65"/>
        <n v="96"/>
        <n v="309"/>
        <n v="226"/>
        <n v="116"/>
        <n v="339"/>
        <n v="75"/>
        <n v="218"/>
        <n v="221"/>
        <n v="328"/>
        <n v="251"/>
        <n v="296"/>
        <n v="89"/>
        <n v="140"/>
        <n v="284"/>
        <n v="351"/>
        <n v="227"/>
        <n v="85"/>
        <n v="286"/>
        <n v="313"/>
        <n v="300"/>
        <n v="257"/>
        <n v="220"/>
        <n v="250"/>
        <n v="206"/>
        <n v="291"/>
        <n v="341"/>
      </sharedItems>
    </cacheField>
    <cacheField name="Nitrate (mg/L)" numFmtId="0">
      <sharedItems containsSemiMixedTypes="0" containsString="0" containsNumber="1" containsInteger="1" minValue="0" maxValue="80" count="79">
        <n v="21"/>
        <n v="59"/>
        <n v="23"/>
        <n v="45"/>
        <n v="28"/>
        <n v="7"/>
        <n v="46"/>
        <n v="3"/>
        <n v="62"/>
        <n v="31"/>
        <n v="34"/>
        <n v="25"/>
        <n v="68"/>
        <n v="47"/>
        <n v="51"/>
        <n v="4"/>
        <n v="60"/>
        <n v="49"/>
        <n v="20"/>
        <n v="56"/>
        <n v="50"/>
        <n v="54"/>
        <n v="2"/>
        <n v="22"/>
        <n v="57"/>
        <n v="5"/>
        <n v="33"/>
        <n v="18"/>
        <n v="19"/>
        <n v="41"/>
        <n v="76"/>
        <n v="38"/>
        <n v="13"/>
        <n v="70"/>
        <n v="0"/>
        <n v="39"/>
        <n v="12"/>
        <n v="14"/>
        <n v="66"/>
        <n v="67"/>
        <n v="77"/>
        <n v="17"/>
        <n v="42"/>
        <n v="61"/>
        <n v="15"/>
        <n v="63"/>
        <n v="27"/>
        <n v="75"/>
        <n v="11"/>
        <n v="9"/>
        <n v="6"/>
        <n v="16"/>
        <n v="30"/>
        <n v="35"/>
        <n v="37"/>
        <n v="36"/>
        <n v="64"/>
        <n v="79"/>
        <n v="1"/>
        <n v="73"/>
        <n v="69"/>
        <n v="74"/>
        <n v="10"/>
        <n v="32"/>
        <n v="24"/>
        <n v="29"/>
        <n v="43"/>
        <n v="80"/>
        <n v="52"/>
        <n v="26"/>
        <n v="72"/>
        <n v="53"/>
        <n v="8"/>
        <n v="58"/>
        <n v="78"/>
        <n v="44"/>
        <n v="65"/>
        <n v="55"/>
        <n v="71"/>
      </sharedItems>
    </cacheField>
    <cacheField name="Lead (mg/L)" numFmtId="0">
      <sharedItems containsSemiMixedTypes="0" containsString="0" containsNumber="1" minValue="0" maxValue="0.02" count="21">
        <n v="1.4E-2"/>
        <n v="2E-3"/>
        <n v="1.7999999999999999E-2"/>
        <n v="5.0000000000000001E-3"/>
        <n v="1.2999999999999999E-2"/>
        <n v="0"/>
        <n v="8.9999999999999993E-3"/>
        <n v="1.9E-2"/>
        <n v="1.6E-2"/>
        <n v="1.2E-2"/>
        <n v="4.0000000000000001E-3"/>
        <n v="3.0000000000000001E-3"/>
        <n v="1.7000000000000001E-2"/>
        <n v="8.0000000000000002E-3"/>
        <n v="7.0000000000000001E-3"/>
        <n v="1E-3"/>
        <n v="1.0999999999999999E-2"/>
        <n v="0.02"/>
        <n v="1.4999999999999999E-2"/>
        <n v="0.01"/>
        <n v="6.0000000000000001E-3"/>
      </sharedItems>
    </cacheField>
    <cacheField name="Temperature (°C)" numFmtId="0">
      <sharedItems containsSemiMixedTypes="0" containsString="0" containsNumber="1" containsInteger="1" minValue="10" maxValue="35" count="26">
        <n v="19"/>
        <n v="26"/>
        <n v="28"/>
        <n v="23"/>
        <n v="34"/>
        <n v="13"/>
        <n v="18"/>
        <n v="15"/>
        <n v="33"/>
        <n v="12"/>
        <n v="35"/>
        <n v="30"/>
        <n v="21"/>
        <n v="24"/>
        <n v="31"/>
        <n v="14"/>
        <n v="20"/>
        <n v="29"/>
        <n v="32"/>
        <n v="25"/>
        <n v="11"/>
        <n v="10"/>
        <n v="16"/>
        <n v="17"/>
        <n v="22"/>
        <n v="27"/>
      </sharedItems>
    </cacheField>
    <cacheField name="pH_Status" numFmtId="0">
      <sharedItems count="2">
        <s v="Safe"/>
        <s v="Unsafe"/>
      </sharedItems>
    </cacheField>
    <cacheField name="Nitrate_Status" numFmtId="0">
      <sharedItems count="2">
        <s v="Safe"/>
        <s v="Unsafe"/>
      </sharedItems>
    </cacheField>
    <cacheField name="Lead_Status" numFmtId="0">
      <sharedItems count="2">
        <s v="Unsafe"/>
        <s v="Safe"/>
      </sharedItems>
    </cacheField>
    <cacheField name="Overall_Status" numFmtId="0">
      <sharedItems count="2">
        <s v="Contaminated"/>
        <s v="Safe"/>
      </sharedItems>
    </cacheField>
  </cacheFields>
  <extLst>
    <ext xmlns:x14="http://schemas.microsoft.com/office/spreadsheetml/2009/9/main" uri="{725AE2AE-9491-48be-B2B4-4EB974FC3084}">
      <x14:pivotCacheDefinition pivotCacheId="1937827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WQ-001"/>
    <d v="2022-07-24T00:00:00"/>
    <x v="0"/>
    <x v="0"/>
    <x v="0"/>
    <x v="0"/>
    <x v="0"/>
    <x v="0"/>
    <x v="0"/>
    <x v="0"/>
    <x v="0"/>
    <x v="0"/>
    <x v="0"/>
    <x v="0"/>
    <x v="0"/>
    <x v="0"/>
  </r>
  <r>
    <s v="WQ-002"/>
    <d v="2022-08-02T00:00:00"/>
    <x v="1"/>
    <x v="1"/>
    <x v="1"/>
    <x v="1"/>
    <x v="1"/>
    <x v="1"/>
    <x v="1"/>
    <x v="1"/>
    <x v="1"/>
    <x v="1"/>
    <x v="1"/>
    <x v="1"/>
    <x v="1"/>
    <x v="0"/>
  </r>
  <r>
    <s v="WQ-003"/>
    <d v="2022-12-15T00:00:00"/>
    <x v="2"/>
    <x v="2"/>
    <x v="1"/>
    <x v="2"/>
    <x v="2"/>
    <x v="2"/>
    <x v="2"/>
    <x v="2"/>
    <x v="2"/>
    <x v="2"/>
    <x v="0"/>
    <x v="0"/>
    <x v="0"/>
    <x v="0"/>
  </r>
  <r>
    <s v="WQ-004"/>
    <d v="2022-04-21T00:00:00"/>
    <x v="3"/>
    <x v="3"/>
    <x v="0"/>
    <x v="3"/>
    <x v="3"/>
    <x v="3"/>
    <x v="3"/>
    <x v="3"/>
    <x v="3"/>
    <x v="3"/>
    <x v="0"/>
    <x v="0"/>
    <x v="1"/>
    <x v="1"/>
  </r>
  <r>
    <s v="WQ-005"/>
    <d v="2022-06-01T00:00:00"/>
    <x v="4"/>
    <x v="0"/>
    <x v="2"/>
    <x v="4"/>
    <x v="4"/>
    <x v="4"/>
    <x v="4"/>
    <x v="4"/>
    <x v="4"/>
    <x v="1"/>
    <x v="0"/>
    <x v="0"/>
    <x v="0"/>
    <x v="0"/>
  </r>
  <r>
    <s v="WQ-006"/>
    <d v="2022-01-28T00:00:00"/>
    <x v="5"/>
    <x v="3"/>
    <x v="2"/>
    <x v="2"/>
    <x v="5"/>
    <x v="5"/>
    <x v="5"/>
    <x v="5"/>
    <x v="5"/>
    <x v="4"/>
    <x v="0"/>
    <x v="0"/>
    <x v="1"/>
    <x v="1"/>
  </r>
  <r>
    <s v="WQ-007"/>
    <d v="2022-04-02T00:00:00"/>
    <x v="3"/>
    <x v="1"/>
    <x v="0"/>
    <x v="5"/>
    <x v="6"/>
    <x v="6"/>
    <x v="6"/>
    <x v="6"/>
    <x v="4"/>
    <x v="5"/>
    <x v="0"/>
    <x v="0"/>
    <x v="0"/>
    <x v="0"/>
  </r>
  <r>
    <s v="WQ-008"/>
    <d v="2022-11-22T00:00:00"/>
    <x v="6"/>
    <x v="3"/>
    <x v="2"/>
    <x v="6"/>
    <x v="7"/>
    <x v="7"/>
    <x v="7"/>
    <x v="7"/>
    <x v="6"/>
    <x v="6"/>
    <x v="0"/>
    <x v="0"/>
    <x v="1"/>
    <x v="1"/>
  </r>
  <r>
    <s v="WQ-009"/>
    <d v="2022-03-05T00:00:00"/>
    <x v="7"/>
    <x v="2"/>
    <x v="1"/>
    <x v="7"/>
    <x v="8"/>
    <x v="8"/>
    <x v="8"/>
    <x v="8"/>
    <x v="7"/>
    <x v="2"/>
    <x v="1"/>
    <x v="1"/>
    <x v="0"/>
    <x v="0"/>
  </r>
  <r>
    <s v="WQ-010"/>
    <d v="2022-08-09T00:00:00"/>
    <x v="1"/>
    <x v="4"/>
    <x v="2"/>
    <x v="8"/>
    <x v="9"/>
    <x v="9"/>
    <x v="9"/>
    <x v="9"/>
    <x v="8"/>
    <x v="7"/>
    <x v="0"/>
    <x v="0"/>
    <x v="0"/>
    <x v="0"/>
  </r>
  <r>
    <s v="WQ-011"/>
    <d v="2022-11-04T00:00:00"/>
    <x v="6"/>
    <x v="4"/>
    <x v="0"/>
    <x v="9"/>
    <x v="10"/>
    <x v="10"/>
    <x v="10"/>
    <x v="10"/>
    <x v="3"/>
    <x v="8"/>
    <x v="0"/>
    <x v="0"/>
    <x v="1"/>
    <x v="1"/>
  </r>
  <r>
    <s v="WQ-012"/>
    <d v="2022-02-26T00:00:00"/>
    <x v="8"/>
    <x v="0"/>
    <x v="2"/>
    <x v="2"/>
    <x v="11"/>
    <x v="11"/>
    <x v="11"/>
    <x v="11"/>
    <x v="4"/>
    <x v="9"/>
    <x v="0"/>
    <x v="0"/>
    <x v="0"/>
    <x v="0"/>
  </r>
  <r>
    <s v="WQ-013"/>
    <d v="2022-05-05T00:00:00"/>
    <x v="9"/>
    <x v="0"/>
    <x v="2"/>
    <x v="10"/>
    <x v="0"/>
    <x v="12"/>
    <x v="12"/>
    <x v="11"/>
    <x v="9"/>
    <x v="10"/>
    <x v="0"/>
    <x v="0"/>
    <x v="0"/>
    <x v="0"/>
  </r>
  <r>
    <s v="WQ-014"/>
    <d v="2022-05-12T00:00:00"/>
    <x v="9"/>
    <x v="3"/>
    <x v="2"/>
    <x v="2"/>
    <x v="12"/>
    <x v="13"/>
    <x v="13"/>
    <x v="12"/>
    <x v="10"/>
    <x v="11"/>
    <x v="0"/>
    <x v="1"/>
    <x v="1"/>
    <x v="0"/>
  </r>
  <r>
    <s v="WQ-015"/>
    <d v="2022-12-16T00:00:00"/>
    <x v="2"/>
    <x v="0"/>
    <x v="2"/>
    <x v="3"/>
    <x v="13"/>
    <x v="14"/>
    <x v="14"/>
    <x v="13"/>
    <x v="2"/>
    <x v="12"/>
    <x v="0"/>
    <x v="0"/>
    <x v="0"/>
    <x v="0"/>
  </r>
  <r>
    <s v="WQ-016"/>
    <d v="2022-05-10T00:00:00"/>
    <x v="9"/>
    <x v="0"/>
    <x v="0"/>
    <x v="3"/>
    <x v="14"/>
    <x v="15"/>
    <x v="15"/>
    <x v="11"/>
    <x v="11"/>
    <x v="13"/>
    <x v="0"/>
    <x v="0"/>
    <x v="1"/>
    <x v="1"/>
  </r>
  <r>
    <s v="WQ-017"/>
    <d v="2022-03-16T00:00:00"/>
    <x v="7"/>
    <x v="2"/>
    <x v="0"/>
    <x v="11"/>
    <x v="15"/>
    <x v="16"/>
    <x v="16"/>
    <x v="14"/>
    <x v="9"/>
    <x v="14"/>
    <x v="1"/>
    <x v="1"/>
    <x v="0"/>
    <x v="0"/>
  </r>
  <r>
    <s v="WQ-018"/>
    <d v="2022-04-25T00:00:00"/>
    <x v="3"/>
    <x v="3"/>
    <x v="1"/>
    <x v="5"/>
    <x v="16"/>
    <x v="17"/>
    <x v="17"/>
    <x v="15"/>
    <x v="5"/>
    <x v="8"/>
    <x v="0"/>
    <x v="0"/>
    <x v="1"/>
    <x v="1"/>
  </r>
  <r>
    <s v="WQ-019"/>
    <d v="2022-05-04T00:00:00"/>
    <x v="9"/>
    <x v="3"/>
    <x v="1"/>
    <x v="12"/>
    <x v="17"/>
    <x v="18"/>
    <x v="18"/>
    <x v="16"/>
    <x v="11"/>
    <x v="0"/>
    <x v="0"/>
    <x v="1"/>
    <x v="1"/>
    <x v="0"/>
  </r>
  <r>
    <s v="WQ-020"/>
    <d v="2022-10-17T00:00:00"/>
    <x v="10"/>
    <x v="0"/>
    <x v="0"/>
    <x v="13"/>
    <x v="18"/>
    <x v="19"/>
    <x v="19"/>
    <x v="17"/>
    <x v="8"/>
    <x v="13"/>
    <x v="0"/>
    <x v="0"/>
    <x v="0"/>
    <x v="0"/>
  </r>
  <r>
    <s v="WQ-021"/>
    <d v="2022-07-14T00:00:00"/>
    <x v="0"/>
    <x v="1"/>
    <x v="2"/>
    <x v="11"/>
    <x v="19"/>
    <x v="20"/>
    <x v="20"/>
    <x v="18"/>
    <x v="5"/>
    <x v="2"/>
    <x v="1"/>
    <x v="0"/>
    <x v="1"/>
    <x v="0"/>
  </r>
  <r>
    <s v="WQ-022"/>
    <d v="2022-07-20T00:00:00"/>
    <x v="0"/>
    <x v="3"/>
    <x v="1"/>
    <x v="14"/>
    <x v="20"/>
    <x v="21"/>
    <x v="21"/>
    <x v="19"/>
    <x v="12"/>
    <x v="15"/>
    <x v="0"/>
    <x v="1"/>
    <x v="0"/>
    <x v="0"/>
  </r>
  <r>
    <s v="WQ-023"/>
    <d v="2022-05-28T00:00:00"/>
    <x v="9"/>
    <x v="0"/>
    <x v="0"/>
    <x v="13"/>
    <x v="21"/>
    <x v="22"/>
    <x v="22"/>
    <x v="20"/>
    <x v="13"/>
    <x v="8"/>
    <x v="0"/>
    <x v="0"/>
    <x v="1"/>
    <x v="1"/>
  </r>
  <r>
    <s v="WQ-024"/>
    <d v="2022-10-23T00:00:00"/>
    <x v="10"/>
    <x v="0"/>
    <x v="1"/>
    <x v="7"/>
    <x v="22"/>
    <x v="23"/>
    <x v="23"/>
    <x v="21"/>
    <x v="14"/>
    <x v="16"/>
    <x v="1"/>
    <x v="1"/>
    <x v="1"/>
    <x v="0"/>
  </r>
  <r>
    <s v="WQ-025"/>
    <d v="2022-08-15T00:00:00"/>
    <x v="1"/>
    <x v="0"/>
    <x v="2"/>
    <x v="13"/>
    <x v="23"/>
    <x v="24"/>
    <x v="24"/>
    <x v="20"/>
    <x v="1"/>
    <x v="6"/>
    <x v="0"/>
    <x v="0"/>
    <x v="1"/>
    <x v="1"/>
  </r>
  <r>
    <s v="WQ-026"/>
    <d v="2022-02-21T00:00:00"/>
    <x v="8"/>
    <x v="3"/>
    <x v="2"/>
    <x v="5"/>
    <x v="24"/>
    <x v="25"/>
    <x v="25"/>
    <x v="22"/>
    <x v="9"/>
    <x v="17"/>
    <x v="0"/>
    <x v="0"/>
    <x v="0"/>
    <x v="0"/>
  </r>
  <r>
    <s v="WQ-027"/>
    <d v="2022-02-10T00:00:00"/>
    <x v="8"/>
    <x v="2"/>
    <x v="0"/>
    <x v="15"/>
    <x v="25"/>
    <x v="26"/>
    <x v="26"/>
    <x v="23"/>
    <x v="7"/>
    <x v="6"/>
    <x v="1"/>
    <x v="0"/>
    <x v="0"/>
    <x v="0"/>
  </r>
  <r>
    <s v="WQ-028"/>
    <d v="2022-06-20T00:00:00"/>
    <x v="4"/>
    <x v="2"/>
    <x v="1"/>
    <x v="2"/>
    <x v="26"/>
    <x v="27"/>
    <x v="5"/>
    <x v="24"/>
    <x v="15"/>
    <x v="3"/>
    <x v="0"/>
    <x v="1"/>
    <x v="1"/>
    <x v="0"/>
  </r>
  <r>
    <s v="WQ-029"/>
    <d v="2022-08-28T00:00:00"/>
    <x v="1"/>
    <x v="1"/>
    <x v="1"/>
    <x v="14"/>
    <x v="27"/>
    <x v="28"/>
    <x v="1"/>
    <x v="25"/>
    <x v="6"/>
    <x v="18"/>
    <x v="0"/>
    <x v="0"/>
    <x v="1"/>
    <x v="1"/>
  </r>
  <r>
    <s v="WQ-030"/>
    <d v="2022-07-18T00:00:00"/>
    <x v="0"/>
    <x v="4"/>
    <x v="1"/>
    <x v="16"/>
    <x v="28"/>
    <x v="29"/>
    <x v="27"/>
    <x v="11"/>
    <x v="16"/>
    <x v="19"/>
    <x v="0"/>
    <x v="0"/>
    <x v="0"/>
    <x v="0"/>
  </r>
  <r>
    <s v="WQ-031"/>
    <d v="2022-02-09T00:00:00"/>
    <x v="8"/>
    <x v="2"/>
    <x v="1"/>
    <x v="5"/>
    <x v="29"/>
    <x v="8"/>
    <x v="28"/>
    <x v="26"/>
    <x v="15"/>
    <x v="20"/>
    <x v="0"/>
    <x v="0"/>
    <x v="1"/>
    <x v="1"/>
  </r>
  <r>
    <s v="WQ-032"/>
    <d v="2022-05-14T00:00:00"/>
    <x v="9"/>
    <x v="1"/>
    <x v="2"/>
    <x v="11"/>
    <x v="30"/>
    <x v="30"/>
    <x v="7"/>
    <x v="20"/>
    <x v="2"/>
    <x v="8"/>
    <x v="1"/>
    <x v="0"/>
    <x v="0"/>
    <x v="0"/>
  </r>
  <r>
    <s v="WQ-033"/>
    <d v="2022-06-07T00:00:00"/>
    <x v="4"/>
    <x v="0"/>
    <x v="2"/>
    <x v="17"/>
    <x v="31"/>
    <x v="31"/>
    <x v="29"/>
    <x v="11"/>
    <x v="9"/>
    <x v="15"/>
    <x v="0"/>
    <x v="0"/>
    <x v="0"/>
    <x v="0"/>
  </r>
  <r>
    <s v="WQ-034"/>
    <d v="2022-05-10T00:00:00"/>
    <x v="9"/>
    <x v="2"/>
    <x v="1"/>
    <x v="17"/>
    <x v="32"/>
    <x v="32"/>
    <x v="30"/>
    <x v="27"/>
    <x v="9"/>
    <x v="18"/>
    <x v="0"/>
    <x v="0"/>
    <x v="0"/>
    <x v="0"/>
  </r>
  <r>
    <s v="WQ-035"/>
    <d v="2022-02-02T00:00:00"/>
    <x v="8"/>
    <x v="4"/>
    <x v="0"/>
    <x v="8"/>
    <x v="33"/>
    <x v="33"/>
    <x v="31"/>
    <x v="28"/>
    <x v="7"/>
    <x v="20"/>
    <x v="0"/>
    <x v="0"/>
    <x v="0"/>
    <x v="0"/>
  </r>
  <r>
    <s v="WQ-036"/>
    <d v="2022-03-21T00:00:00"/>
    <x v="7"/>
    <x v="2"/>
    <x v="1"/>
    <x v="18"/>
    <x v="34"/>
    <x v="34"/>
    <x v="32"/>
    <x v="5"/>
    <x v="7"/>
    <x v="20"/>
    <x v="0"/>
    <x v="0"/>
    <x v="0"/>
    <x v="0"/>
  </r>
  <r>
    <s v="WQ-037"/>
    <d v="2022-12-23T00:00:00"/>
    <x v="2"/>
    <x v="0"/>
    <x v="1"/>
    <x v="17"/>
    <x v="35"/>
    <x v="35"/>
    <x v="33"/>
    <x v="29"/>
    <x v="2"/>
    <x v="21"/>
    <x v="0"/>
    <x v="0"/>
    <x v="0"/>
    <x v="0"/>
  </r>
  <r>
    <s v="WQ-038"/>
    <d v="2022-09-12T00:00:00"/>
    <x v="11"/>
    <x v="0"/>
    <x v="2"/>
    <x v="19"/>
    <x v="36"/>
    <x v="36"/>
    <x v="25"/>
    <x v="22"/>
    <x v="1"/>
    <x v="4"/>
    <x v="1"/>
    <x v="0"/>
    <x v="1"/>
    <x v="0"/>
  </r>
  <r>
    <s v="WQ-039"/>
    <d v="2022-08-20T00:00:00"/>
    <x v="1"/>
    <x v="3"/>
    <x v="1"/>
    <x v="13"/>
    <x v="37"/>
    <x v="37"/>
    <x v="34"/>
    <x v="30"/>
    <x v="17"/>
    <x v="22"/>
    <x v="0"/>
    <x v="1"/>
    <x v="0"/>
    <x v="0"/>
  </r>
  <r>
    <s v="WQ-040"/>
    <d v="2022-12-07T00:00:00"/>
    <x v="2"/>
    <x v="0"/>
    <x v="0"/>
    <x v="20"/>
    <x v="38"/>
    <x v="38"/>
    <x v="35"/>
    <x v="31"/>
    <x v="17"/>
    <x v="0"/>
    <x v="0"/>
    <x v="0"/>
    <x v="0"/>
    <x v="0"/>
  </r>
  <r>
    <s v="WQ-041"/>
    <d v="2022-09-05T00:00:00"/>
    <x v="11"/>
    <x v="2"/>
    <x v="1"/>
    <x v="11"/>
    <x v="39"/>
    <x v="39"/>
    <x v="36"/>
    <x v="0"/>
    <x v="7"/>
    <x v="12"/>
    <x v="1"/>
    <x v="0"/>
    <x v="0"/>
    <x v="0"/>
  </r>
  <r>
    <s v="WQ-042"/>
    <d v="2022-03-22T00:00:00"/>
    <x v="7"/>
    <x v="2"/>
    <x v="1"/>
    <x v="7"/>
    <x v="40"/>
    <x v="40"/>
    <x v="37"/>
    <x v="23"/>
    <x v="17"/>
    <x v="11"/>
    <x v="1"/>
    <x v="0"/>
    <x v="0"/>
    <x v="0"/>
  </r>
  <r>
    <s v="WQ-043"/>
    <d v="2022-05-22T00:00:00"/>
    <x v="9"/>
    <x v="4"/>
    <x v="0"/>
    <x v="11"/>
    <x v="41"/>
    <x v="41"/>
    <x v="38"/>
    <x v="32"/>
    <x v="17"/>
    <x v="0"/>
    <x v="1"/>
    <x v="0"/>
    <x v="0"/>
    <x v="0"/>
  </r>
  <r>
    <s v="WQ-044"/>
    <d v="2022-05-04T00:00:00"/>
    <x v="9"/>
    <x v="0"/>
    <x v="0"/>
    <x v="15"/>
    <x v="42"/>
    <x v="42"/>
    <x v="39"/>
    <x v="33"/>
    <x v="17"/>
    <x v="4"/>
    <x v="1"/>
    <x v="1"/>
    <x v="0"/>
    <x v="0"/>
  </r>
  <r>
    <s v="WQ-045"/>
    <d v="2022-01-03T00:00:00"/>
    <x v="5"/>
    <x v="4"/>
    <x v="1"/>
    <x v="14"/>
    <x v="43"/>
    <x v="43"/>
    <x v="40"/>
    <x v="34"/>
    <x v="0"/>
    <x v="17"/>
    <x v="0"/>
    <x v="0"/>
    <x v="0"/>
    <x v="0"/>
  </r>
  <r>
    <s v="WQ-046"/>
    <d v="2022-10-04T00:00:00"/>
    <x v="10"/>
    <x v="3"/>
    <x v="1"/>
    <x v="16"/>
    <x v="44"/>
    <x v="44"/>
    <x v="41"/>
    <x v="4"/>
    <x v="9"/>
    <x v="12"/>
    <x v="0"/>
    <x v="0"/>
    <x v="0"/>
    <x v="0"/>
  </r>
  <r>
    <s v="WQ-047"/>
    <d v="2022-02-06T00:00:00"/>
    <x v="8"/>
    <x v="0"/>
    <x v="0"/>
    <x v="7"/>
    <x v="45"/>
    <x v="45"/>
    <x v="42"/>
    <x v="35"/>
    <x v="4"/>
    <x v="22"/>
    <x v="1"/>
    <x v="0"/>
    <x v="0"/>
    <x v="0"/>
  </r>
  <r>
    <s v="WQ-048"/>
    <d v="2022-12-18T00:00:00"/>
    <x v="2"/>
    <x v="4"/>
    <x v="0"/>
    <x v="18"/>
    <x v="46"/>
    <x v="46"/>
    <x v="43"/>
    <x v="36"/>
    <x v="4"/>
    <x v="16"/>
    <x v="0"/>
    <x v="0"/>
    <x v="0"/>
    <x v="0"/>
  </r>
  <r>
    <s v="WQ-049"/>
    <d v="2022-12-09T00:00:00"/>
    <x v="2"/>
    <x v="1"/>
    <x v="2"/>
    <x v="3"/>
    <x v="47"/>
    <x v="47"/>
    <x v="44"/>
    <x v="25"/>
    <x v="9"/>
    <x v="8"/>
    <x v="0"/>
    <x v="0"/>
    <x v="0"/>
    <x v="0"/>
  </r>
  <r>
    <s v="WQ-050"/>
    <d v="2022-01-09T00:00:00"/>
    <x v="5"/>
    <x v="3"/>
    <x v="2"/>
    <x v="21"/>
    <x v="48"/>
    <x v="48"/>
    <x v="45"/>
    <x v="37"/>
    <x v="13"/>
    <x v="22"/>
    <x v="1"/>
    <x v="0"/>
    <x v="1"/>
    <x v="0"/>
  </r>
  <r>
    <s v="WQ-051"/>
    <d v="2022-01-25T00:00:00"/>
    <x v="5"/>
    <x v="4"/>
    <x v="2"/>
    <x v="1"/>
    <x v="49"/>
    <x v="49"/>
    <x v="46"/>
    <x v="7"/>
    <x v="3"/>
    <x v="14"/>
    <x v="1"/>
    <x v="0"/>
    <x v="1"/>
    <x v="0"/>
  </r>
  <r>
    <s v="WQ-052"/>
    <d v="2022-07-15T00:00:00"/>
    <x v="0"/>
    <x v="3"/>
    <x v="1"/>
    <x v="18"/>
    <x v="50"/>
    <x v="50"/>
    <x v="47"/>
    <x v="38"/>
    <x v="5"/>
    <x v="6"/>
    <x v="0"/>
    <x v="1"/>
    <x v="1"/>
    <x v="0"/>
  </r>
  <r>
    <s v="WQ-053"/>
    <d v="2022-06-07T00:00:00"/>
    <x v="4"/>
    <x v="0"/>
    <x v="2"/>
    <x v="3"/>
    <x v="51"/>
    <x v="51"/>
    <x v="48"/>
    <x v="39"/>
    <x v="7"/>
    <x v="16"/>
    <x v="0"/>
    <x v="1"/>
    <x v="0"/>
    <x v="0"/>
  </r>
  <r>
    <s v="WQ-054"/>
    <d v="2022-05-19T00:00:00"/>
    <x v="9"/>
    <x v="1"/>
    <x v="2"/>
    <x v="21"/>
    <x v="52"/>
    <x v="52"/>
    <x v="27"/>
    <x v="18"/>
    <x v="16"/>
    <x v="9"/>
    <x v="1"/>
    <x v="0"/>
    <x v="0"/>
    <x v="0"/>
  </r>
  <r>
    <s v="WQ-055"/>
    <d v="2022-08-14T00:00:00"/>
    <x v="1"/>
    <x v="0"/>
    <x v="1"/>
    <x v="3"/>
    <x v="53"/>
    <x v="53"/>
    <x v="49"/>
    <x v="40"/>
    <x v="6"/>
    <x v="0"/>
    <x v="0"/>
    <x v="1"/>
    <x v="1"/>
    <x v="0"/>
  </r>
  <r>
    <s v="WQ-056"/>
    <d v="2022-04-15T00:00:00"/>
    <x v="3"/>
    <x v="3"/>
    <x v="2"/>
    <x v="5"/>
    <x v="54"/>
    <x v="54"/>
    <x v="50"/>
    <x v="5"/>
    <x v="5"/>
    <x v="22"/>
    <x v="0"/>
    <x v="0"/>
    <x v="1"/>
    <x v="1"/>
  </r>
  <r>
    <s v="WQ-057"/>
    <d v="2022-12-03T00:00:00"/>
    <x v="2"/>
    <x v="2"/>
    <x v="2"/>
    <x v="22"/>
    <x v="55"/>
    <x v="55"/>
    <x v="51"/>
    <x v="41"/>
    <x v="14"/>
    <x v="2"/>
    <x v="0"/>
    <x v="0"/>
    <x v="1"/>
    <x v="1"/>
  </r>
  <r>
    <s v="WQ-058"/>
    <d v="2022-01-03T00:00:00"/>
    <x v="5"/>
    <x v="0"/>
    <x v="1"/>
    <x v="13"/>
    <x v="56"/>
    <x v="56"/>
    <x v="52"/>
    <x v="42"/>
    <x v="14"/>
    <x v="10"/>
    <x v="0"/>
    <x v="0"/>
    <x v="1"/>
    <x v="1"/>
  </r>
  <r>
    <s v="WQ-059"/>
    <d v="2022-05-03T00:00:00"/>
    <x v="9"/>
    <x v="3"/>
    <x v="2"/>
    <x v="23"/>
    <x v="57"/>
    <x v="57"/>
    <x v="13"/>
    <x v="43"/>
    <x v="15"/>
    <x v="4"/>
    <x v="1"/>
    <x v="1"/>
    <x v="1"/>
    <x v="0"/>
  </r>
  <r>
    <s v="WQ-060"/>
    <d v="2022-12-09T00:00:00"/>
    <x v="2"/>
    <x v="3"/>
    <x v="2"/>
    <x v="18"/>
    <x v="58"/>
    <x v="58"/>
    <x v="53"/>
    <x v="27"/>
    <x v="18"/>
    <x v="14"/>
    <x v="0"/>
    <x v="0"/>
    <x v="0"/>
    <x v="0"/>
  </r>
  <r>
    <s v="WQ-061"/>
    <d v="2022-01-21T00:00:00"/>
    <x v="5"/>
    <x v="1"/>
    <x v="0"/>
    <x v="14"/>
    <x v="59"/>
    <x v="59"/>
    <x v="54"/>
    <x v="21"/>
    <x v="10"/>
    <x v="22"/>
    <x v="0"/>
    <x v="1"/>
    <x v="1"/>
    <x v="0"/>
  </r>
  <r>
    <s v="WQ-062"/>
    <d v="2022-12-26T00:00:00"/>
    <x v="2"/>
    <x v="4"/>
    <x v="0"/>
    <x v="22"/>
    <x v="60"/>
    <x v="60"/>
    <x v="39"/>
    <x v="44"/>
    <x v="16"/>
    <x v="13"/>
    <x v="0"/>
    <x v="0"/>
    <x v="0"/>
    <x v="0"/>
  </r>
  <r>
    <s v="WQ-063"/>
    <d v="2022-10-07T00:00:00"/>
    <x v="10"/>
    <x v="4"/>
    <x v="2"/>
    <x v="20"/>
    <x v="61"/>
    <x v="61"/>
    <x v="55"/>
    <x v="45"/>
    <x v="7"/>
    <x v="11"/>
    <x v="0"/>
    <x v="1"/>
    <x v="0"/>
    <x v="0"/>
  </r>
  <r>
    <s v="WQ-064"/>
    <d v="2022-07-15T00:00:00"/>
    <x v="0"/>
    <x v="3"/>
    <x v="2"/>
    <x v="16"/>
    <x v="62"/>
    <x v="62"/>
    <x v="56"/>
    <x v="26"/>
    <x v="2"/>
    <x v="12"/>
    <x v="0"/>
    <x v="0"/>
    <x v="0"/>
    <x v="0"/>
  </r>
  <r>
    <s v="WQ-065"/>
    <d v="2022-09-20T00:00:00"/>
    <x v="11"/>
    <x v="4"/>
    <x v="2"/>
    <x v="13"/>
    <x v="63"/>
    <x v="63"/>
    <x v="57"/>
    <x v="9"/>
    <x v="8"/>
    <x v="23"/>
    <x v="0"/>
    <x v="0"/>
    <x v="0"/>
    <x v="0"/>
  </r>
  <r>
    <s v="WQ-066"/>
    <d v="2022-05-01T00:00:00"/>
    <x v="9"/>
    <x v="1"/>
    <x v="1"/>
    <x v="8"/>
    <x v="64"/>
    <x v="64"/>
    <x v="58"/>
    <x v="46"/>
    <x v="0"/>
    <x v="15"/>
    <x v="0"/>
    <x v="0"/>
    <x v="0"/>
    <x v="0"/>
  </r>
  <r>
    <s v="WQ-067"/>
    <d v="2022-08-09T00:00:00"/>
    <x v="1"/>
    <x v="1"/>
    <x v="0"/>
    <x v="2"/>
    <x v="65"/>
    <x v="65"/>
    <x v="59"/>
    <x v="5"/>
    <x v="6"/>
    <x v="11"/>
    <x v="0"/>
    <x v="0"/>
    <x v="1"/>
    <x v="1"/>
  </r>
  <r>
    <s v="WQ-068"/>
    <d v="2022-08-06T00:00:00"/>
    <x v="1"/>
    <x v="0"/>
    <x v="2"/>
    <x v="18"/>
    <x v="66"/>
    <x v="66"/>
    <x v="60"/>
    <x v="3"/>
    <x v="12"/>
    <x v="21"/>
    <x v="0"/>
    <x v="0"/>
    <x v="0"/>
    <x v="0"/>
  </r>
  <r>
    <s v="WQ-069"/>
    <d v="2022-09-25T00:00:00"/>
    <x v="11"/>
    <x v="4"/>
    <x v="1"/>
    <x v="4"/>
    <x v="67"/>
    <x v="67"/>
    <x v="61"/>
    <x v="14"/>
    <x v="3"/>
    <x v="12"/>
    <x v="0"/>
    <x v="1"/>
    <x v="1"/>
    <x v="0"/>
  </r>
  <r>
    <s v="WQ-070"/>
    <d v="2022-11-22T00:00:00"/>
    <x v="6"/>
    <x v="3"/>
    <x v="1"/>
    <x v="11"/>
    <x v="68"/>
    <x v="68"/>
    <x v="21"/>
    <x v="36"/>
    <x v="19"/>
    <x v="17"/>
    <x v="1"/>
    <x v="0"/>
    <x v="1"/>
    <x v="0"/>
  </r>
  <r>
    <s v="WQ-071"/>
    <d v="2022-02-18T00:00:00"/>
    <x v="8"/>
    <x v="0"/>
    <x v="0"/>
    <x v="24"/>
    <x v="69"/>
    <x v="69"/>
    <x v="62"/>
    <x v="8"/>
    <x v="0"/>
    <x v="20"/>
    <x v="1"/>
    <x v="1"/>
    <x v="0"/>
    <x v="0"/>
  </r>
  <r>
    <s v="WQ-072"/>
    <d v="2022-12-06T00:00:00"/>
    <x v="2"/>
    <x v="0"/>
    <x v="0"/>
    <x v="25"/>
    <x v="70"/>
    <x v="70"/>
    <x v="63"/>
    <x v="9"/>
    <x v="0"/>
    <x v="3"/>
    <x v="1"/>
    <x v="0"/>
    <x v="0"/>
    <x v="0"/>
  </r>
  <r>
    <s v="WQ-073"/>
    <d v="2022-07-26T00:00:00"/>
    <x v="0"/>
    <x v="2"/>
    <x v="2"/>
    <x v="8"/>
    <x v="71"/>
    <x v="71"/>
    <x v="64"/>
    <x v="47"/>
    <x v="14"/>
    <x v="13"/>
    <x v="0"/>
    <x v="1"/>
    <x v="1"/>
    <x v="0"/>
  </r>
  <r>
    <s v="WQ-074"/>
    <d v="2022-02-06T00:00:00"/>
    <x v="8"/>
    <x v="3"/>
    <x v="1"/>
    <x v="26"/>
    <x v="72"/>
    <x v="72"/>
    <x v="49"/>
    <x v="45"/>
    <x v="11"/>
    <x v="21"/>
    <x v="1"/>
    <x v="1"/>
    <x v="1"/>
    <x v="0"/>
  </r>
  <r>
    <s v="WQ-075"/>
    <d v="2022-06-20T00:00:00"/>
    <x v="4"/>
    <x v="1"/>
    <x v="1"/>
    <x v="6"/>
    <x v="73"/>
    <x v="73"/>
    <x v="65"/>
    <x v="42"/>
    <x v="10"/>
    <x v="7"/>
    <x v="0"/>
    <x v="0"/>
    <x v="1"/>
    <x v="1"/>
  </r>
  <r>
    <s v="WQ-076"/>
    <d v="2022-04-27T00:00:00"/>
    <x v="3"/>
    <x v="2"/>
    <x v="1"/>
    <x v="2"/>
    <x v="74"/>
    <x v="67"/>
    <x v="66"/>
    <x v="33"/>
    <x v="5"/>
    <x v="3"/>
    <x v="0"/>
    <x v="1"/>
    <x v="1"/>
    <x v="0"/>
  </r>
  <r>
    <s v="WQ-077"/>
    <d v="2022-01-12T00:00:00"/>
    <x v="5"/>
    <x v="4"/>
    <x v="0"/>
    <x v="5"/>
    <x v="75"/>
    <x v="51"/>
    <x v="67"/>
    <x v="48"/>
    <x v="6"/>
    <x v="21"/>
    <x v="0"/>
    <x v="0"/>
    <x v="1"/>
    <x v="1"/>
  </r>
  <r>
    <s v="WQ-078"/>
    <d v="2022-09-01T00:00:00"/>
    <x v="11"/>
    <x v="2"/>
    <x v="2"/>
    <x v="17"/>
    <x v="49"/>
    <x v="74"/>
    <x v="68"/>
    <x v="23"/>
    <x v="5"/>
    <x v="13"/>
    <x v="0"/>
    <x v="0"/>
    <x v="1"/>
    <x v="1"/>
  </r>
  <r>
    <s v="WQ-079"/>
    <d v="2022-02-01T00:00:00"/>
    <x v="8"/>
    <x v="3"/>
    <x v="1"/>
    <x v="26"/>
    <x v="0"/>
    <x v="75"/>
    <x v="69"/>
    <x v="49"/>
    <x v="6"/>
    <x v="4"/>
    <x v="1"/>
    <x v="0"/>
    <x v="1"/>
    <x v="0"/>
  </r>
  <r>
    <s v="WQ-080"/>
    <d v="2022-05-22T00:00:00"/>
    <x v="9"/>
    <x v="0"/>
    <x v="2"/>
    <x v="26"/>
    <x v="76"/>
    <x v="76"/>
    <x v="70"/>
    <x v="7"/>
    <x v="8"/>
    <x v="11"/>
    <x v="1"/>
    <x v="0"/>
    <x v="0"/>
    <x v="0"/>
  </r>
  <r>
    <s v="WQ-081"/>
    <d v="2022-05-01T00:00:00"/>
    <x v="9"/>
    <x v="2"/>
    <x v="0"/>
    <x v="12"/>
    <x v="77"/>
    <x v="77"/>
    <x v="71"/>
    <x v="50"/>
    <x v="7"/>
    <x v="10"/>
    <x v="0"/>
    <x v="0"/>
    <x v="0"/>
    <x v="0"/>
  </r>
  <r>
    <s v="WQ-082"/>
    <d v="2022-12-28T00:00:00"/>
    <x v="2"/>
    <x v="2"/>
    <x v="2"/>
    <x v="0"/>
    <x v="78"/>
    <x v="78"/>
    <x v="72"/>
    <x v="32"/>
    <x v="11"/>
    <x v="15"/>
    <x v="0"/>
    <x v="0"/>
    <x v="1"/>
    <x v="1"/>
  </r>
  <r>
    <s v="WQ-083"/>
    <d v="2022-01-28T00:00:00"/>
    <x v="5"/>
    <x v="4"/>
    <x v="0"/>
    <x v="12"/>
    <x v="79"/>
    <x v="79"/>
    <x v="73"/>
    <x v="30"/>
    <x v="4"/>
    <x v="24"/>
    <x v="0"/>
    <x v="1"/>
    <x v="0"/>
    <x v="0"/>
  </r>
  <r>
    <s v="WQ-084"/>
    <d v="2022-03-01T00:00:00"/>
    <x v="7"/>
    <x v="3"/>
    <x v="2"/>
    <x v="4"/>
    <x v="80"/>
    <x v="80"/>
    <x v="74"/>
    <x v="32"/>
    <x v="18"/>
    <x v="19"/>
    <x v="0"/>
    <x v="0"/>
    <x v="0"/>
    <x v="0"/>
  </r>
  <r>
    <s v="WQ-085"/>
    <d v="2022-09-03T00:00:00"/>
    <x v="11"/>
    <x v="4"/>
    <x v="1"/>
    <x v="25"/>
    <x v="81"/>
    <x v="81"/>
    <x v="75"/>
    <x v="45"/>
    <x v="6"/>
    <x v="15"/>
    <x v="1"/>
    <x v="1"/>
    <x v="1"/>
    <x v="0"/>
  </r>
  <r>
    <s v="WQ-086"/>
    <d v="2022-10-24T00:00:00"/>
    <x v="10"/>
    <x v="4"/>
    <x v="1"/>
    <x v="17"/>
    <x v="82"/>
    <x v="82"/>
    <x v="76"/>
    <x v="21"/>
    <x v="7"/>
    <x v="20"/>
    <x v="0"/>
    <x v="1"/>
    <x v="0"/>
    <x v="0"/>
  </r>
  <r>
    <s v="WQ-087"/>
    <d v="2022-11-10T00:00:00"/>
    <x v="6"/>
    <x v="1"/>
    <x v="1"/>
    <x v="22"/>
    <x v="83"/>
    <x v="58"/>
    <x v="77"/>
    <x v="51"/>
    <x v="19"/>
    <x v="14"/>
    <x v="0"/>
    <x v="0"/>
    <x v="1"/>
    <x v="1"/>
  </r>
  <r>
    <s v="WQ-088"/>
    <d v="2022-05-06T00:00:00"/>
    <x v="9"/>
    <x v="3"/>
    <x v="0"/>
    <x v="9"/>
    <x v="84"/>
    <x v="83"/>
    <x v="62"/>
    <x v="41"/>
    <x v="11"/>
    <x v="22"/>
    <x v="0"/>
    <x v="0"/>
    <x v="1"/>
    <x v="1"/>
  </r>
  <r>
    <s v="WQ-089"/>
    <d v="2022-03-03T00:00:00"/>
    <x v="7"/>
    <x v="4"/>
    <x v="1"/>
    <x v="27"/>
    <x v="85"/>
    <x v="84"/>
    <x v="78"/>
    <x v="52"/>
    <x v="18"/>
    <x v="12"/>
    <x v="0"/>
    <x v="0"/>
    <x v="0"/>
    <x v="0"/>
  </r>
  <r>
    <s v="WQ-090"/>
    <d v="2022-11-19T00:00:00"/>
    <x v="6"/>
    <x v="4"/>
    <x v="0"/>
    <x v="12"/>
    <x v="86"/>
    <x v="85"/>
    <x v="79"/>
    <x v="53"/>
    <x v="3"/>
    <x v="17"/>
    <x v="0"/>
    <x v="0"/>
    <x v="1"/>
    <x v="1"/>
  </r>
  <r>
    <s v="WQ-091"/>
    <d v="2022-05-18T00:00:00"/>
    <x v="9"/>
    <x v="3"/>
    <x v="0"/>
    <x v="15"/>
    <x v="87"/>
    <x v="86"/>
    <x v="80"/>
    <x v="19"/>
    <x v="5"/>
    <x v="8"/>
    <x v="1"/>
    <x v="1"/>
    <x v="1"/>
    <x v="0"/>
  </r>
  <r>
    <s v="WQ-092"/>
    <d v="2022-03-12T00:00:00"/>
    <x v="7"/>
    <x v="4"/>
    <x v="2"/>
    <x v="11"/>
    <x v="88"/>
    <x v="87"/>
    <x v="81"/>
    <x v="9"/>
    <x v="20"/>
    <x v="20"/>
    <x v="1"/>
    <x v="0"/>
    <x v="1"/>
    <x v="0"/>
  </r>
  <r>
    <s v="WQ-093"/>
    <d v="2022-04-05T00:00:00"/>
    <x v="3"/>
    <x v="3"/>
    <x v="2"/>
    <x v="17"/>
    <x v="89"/>
    <x v="88"/>
    <x v="6"/>
    <x v="54"/>
    <x v="1"/>
    <x v="5"/>
    <x v="0"/>
    <x v="0"/>
    <x v="1"/>
    <x v="1"/>
  </r>
  <r>
    <s v="WQ-094"/>
    <d v="2022-10-01T00:00:00"/>
    <x v="10"/>
    <x v="1"/>
    <x v="0"/>
    <x v="28"/>
    <x v="90"/>
    <x v="89"/>
    <x v="82"/>
    <x v="30"/>
    <x v="6"/>
    <x v="23"/>
    <x v="0"/>
    <x v="1"/>
    <x v="1"/>
    <x v="0"/>
  </r>
  <r>
    <s v="WQ-095"/>
    <d v="2022-02-14T00:00:00"/>
    <x v="8"/>
    <x v="1"/>
    <x v="1"/>
    <x v="14"/>
    <x v="91"/>
    <x v="90"/>
    <x v="83"/>
    <x v="43"/>
    <x v="14"/>
    <x v="21"/>
    <x v="0"/>
    <x v="1"/>
    <x v="1"/>
    <x v="0"/>
  </r>
  <r>
    <s v="WQ-096"/>
    <d v="2022-04-27T00:00:00"/>
    <x v="3"/>
    <x v="0"/>
    <x v="2"/>
    <x v="29"/>
    <x v="92"/>
    <x v="91"/>
    <x v="84"/>
    <x v="18"/>
    <x v="19"/>
    <x v="4"/>
    <x v="0"/>
    <x v="0"/>
    <x v="1"/>
    <x v="1"/>
  </r>
  <r>
    <s v="WQ-097"/>
    <d v="2022-09-14T00:00:00"/>
    <x v="11"/>
    <x v="2"/>
    <x v="2"/>
    <x v="12"/>
    <x v="93"/>
    <x v="92"/>
    <x v="29"/>
    <x v="54"/>
    <x v="1"/>
    <x v="11"/>
    <x v="0"/>
    <x v="0"/>
    <x v="1"/>
    <x v="1"/>
  </r>
  <r>
    <s v="WQ-098"/>
    <d v="2022-07-02T00:00:00"/>
    <x v="0"/>
    <x v="1"/>
    <x v="2"/>
    <x v="20"/>
    <x v="94"/>
    <x v="93"/>
    <x v="50"/>
    <x v="49"/>
    <x v="20"/>
    <x v="19"/>
    <x v="0"/>
    <x v="0"/>
    <x v="1"/>
    <x v="1"/>
  </r>
  <r>
    <s v="WQ-099"/>
    <d v="2022-01-03T00:00:00"/>
    <x v="5"/>
    <x v="3"/>
    <x v="2"/>
    <x v="3"/>
    <x v="95"/>
    <x v="94"/>
    <x v="85"/>
    <x v="26"/>
    <x v="10"/>
    <x v="19"/>
    <x v="0"/>
    <x v="0"/>
    <x v="1"/>
    <x v="1"/>
  </r>
  <r>
    <s v="WQ-100"/>
    <d v="2022-01-03T00:00:00"/>
    <x v="5"/>
    <x v="1"/>
    <x v="1"/>
    <x v="7"/>
    <x v="96"/>
    <x v="95"/>
    <x v="43"/>
    <x v="45"/>
    <x v="19"/>
    <x v="3"/>
    <x v="1"/>
    <x v="1"/>
    <x v="1"/>
    <x v="0"/>
  </r>
  <r>
    <s v="WQ-101"/>
    <d v="2022-12-10T00:00:00"/>
    <x v="2"/>
    <x v="3"/>
    <x v="1"/>
    <x v="2"/>
    <x v="97"/>
    <x v="96"/>
    <x v="86"/>
    <x v="38"/>
    <x v="14"/>
    <x v="16"/>
    <x v="0"/>
    <x v="1"/>
    <x v="1"/>
    <x v="0"/>
  </r>
  <r>
    <s v="WQ-102"/>
    <d v="2022-10-21T00:00:00"/>
    <x v="10"/>
    <x v="3"/>
    <x v="1"/>
    <x v="23"/>
    <x v="98"/>
    <x v="97"/>
    <x v="87"/>
    <x v="55"/>
    <x v="6"/>
    <x v="8"/>
    <x v="1"/>
    <x v="0"/>
    <x v="1"/>
    <x v="0"/>
  </r>
  <r>
    <s v="WQ-103"/>
    <d v="2022-10-27T00:00:00"/>
    <x v="10"/>
    <x v="3"/>
    <x v="1"/>
    <x v="2"/>
    <x v="99"/>
    <x v="98"/>
    <x v="88"/>
    <x v="41"/>
    <x v="19"/>
    <x v="21"/>
    <x v="0"/>
    <x v="0"/>
    <x v="1"/>
    <x v="1"/>
  </r>
  <r>
    <s v="WQ-104"/>
    <d v="2022-04-01T00:00:00"/>
    <x v="3"/>
    <x v="1"/>
    <x v="0"/>
    <x v="8"/>
    <x v="47"/>
    <x v="99"/>
    <x v="89"/>
    <x v="0"/>
    <x v="8"/>
    <x v="10"/>
    <x v="0"/>
    <x v="0"/>
    <x v="0"/>
    <x v="0"/>
  </r>
  <r>
    <s v="WQ-105"/>
    <d v="2022-09-21T00:00:00"/>
    <x v="11"/>
    <x v="3"/>
    <x v="0"/>
    <x v="19"/>
    <x v="100"/>
    <x v="100"/>
    <x v="90"/>
    <x v="42"/>
    <x v="11"/>
    <x v="3"/>
    <x v="1"/>
    <x v="0"/>
    <x v="1"/>
    <x v="0"/>
  </r>
  <r>
    <s v="WQ-106"/>
    <d v="2022-01-26T00:00:00"/>
    <x v="5"/>
    <x v="1"/>
    <x v="1"/>
    <x v="11"/>
    <x v="101"/>
    <x v="101"/>
    <x v="51"/>
    <x v="33"/>
    <x v="6"/>
    <x v="19"/>
    <x v="1"/>
    <x v="1"/>
    <x v="1"/>
    <x v="0"/>
  </r>
  <r>
    <s v="WQ-107"/>
    <d v="2022-06-24T00:00:00"/>
    <x v="4"/>
    <x v="2"/>
    <x v="1"/>
    <x v="24"/>
    <x v="102"/>
    <x v="102"/>
    <x v="91"/>
    <x v="56"/>
    <x v="9"/>
    <x v="18"/>
    <x v="1"/>
    <x v="1"/>
    <x v="0"/>
    <x v="0"/>
  </r>
  <r>
    <s v="WQ-108"/>
    <d v="2022-04-08T00:00:00"/>
    <x v="3"/>
    <x v="3"/>
    <x v="1"/>
    <x v="9"/>
    <x v="103"/>
    <x v="103"/>
    <x v="92"/>
    <x v="2"/>
    <x v="6"/>
    <x v="15"/>
    <x v="0"/>
    <x v="0"/>
    <x v="1"/>
    <x v="1"/>
  </r>
  <r>
    <s v="WQ-109"/>
    <d v="2022-07-13T00:00:00"/>
    <x v="0"/>
    <x v="3"/>
    <x v="0"/>
    <x v="24"/>
    <x v="104"/>
    <x v="104"/>
    <x v="93"/>
    <x v="41"/>
    <x v="7"/>
    <x v="18"/>
    <x v="1"/>
    <x v="0"/>
    <x v="0"/>
    <x v="0"/>
  </r>
  <r>
    <s v="WQ-110"/>
    <d v="2022-12-15T00:00:00"/>
    <x v="2"/>
    <x v="3"/>
    <x v="0"/>
    <x v="12"/>
    <x v="105"/>
    <x v="9"/>
    <x v="10"/>
    <x v="48"/>
    <x v="5"/>
    <x v="25"/>
    <x v="0"/>
    <x v="0"/>
    <x v="1"/>
    <x v="1"/>
  </r>
  <r>
    <s v="WQ-111"/>
    <d v="2022-08-19T00:00:00"/>
    <x v="1"/>
    <x v="1"/>
    <x v="1"/>
    <x v="28"/>
    <x v="102"/>
    <x v="105"/>
    <x v="94"/>
    <x v="57"/>
    <x v="9"/>
    <x v="4"/>
    <x v="0"/>
    <x v="1"/>
    <x v="0"/>
    <x v="0"/>
  </r>
  <r>
    <s v="WQ-112"/>
    <d v="2022-11-14T00:00:00"/>
    <x v="6"/>
    <x v="4"/>
    <x v="1"/>
    <x v="15"/>
    <x v="37"/>
    <x v="106"/>
    <x v="95"/>
    <x v="53"/>
    <x v="19"/>
    <x v="15"/>
    <x v="1"/>
    <x v="0"/>
    <x v="1"/>
    <x v="0"/>
  </r>
  <r>
    <s v="WQ-113"/>
    <d v="2022-01-28T00:00:00"/>
    <x v="5"/>
    <x v="4"/>
    <x v="0"/>
    <x v="1"/>
    <x v="54"/>
    <x v="107"/>
    <x v="96"/>
    <x v="2"/>
    <x v="9"/>
    <x v="2"/>
    <x v="1"/>
    <x v="0"/>
    <x v="0"/>
    <x v="0"/>
  </r>
  <r>
    <s v="WQ-114"/>
    <d v="2022-11-19T00:00:00"/>
    <x v="6"/>
    <x v="1"/>
    <x v="0"/>
    <x v="9"/>
    <x v="106"/>
    <x v="108"/>
    <x v="97"/>
    <x v="26"/>
    <x v="3"/>
    <x v="6"/>
    <x v="0"/>
    <x v="0"/>
    <x v="1"/>
    <x v="1"/>
  </r>
  <r>
    <s v="WQ-115"/>
    <d v="2022-10-03T00:00:00"/>
    <x v="10"/>
    <x v="1"/>
    <x v="0"/>
    <x v="28"/>
    <x v="107"/>
    <x v="109"/>
    <x v="98"/>
    <x v="51"/>
    <x v="19"/>
    <x v="17"/>
    <x v="0"/>
    <x v="0"/>
    <x v="1"/>
    <x v="1"/>
  </r>
  <r>
    <s v="WQ-116"/>
    <d v="2022-05-06T00:00:00"/>
    <x v="9"/>
    <x v="4"/>
    <x v="2"/>
    <x v="14"/>
    <x v="108"/>
    <x v="110"/>
    <x v="99"/>
    <x v="51"/>
    <x v="5"/>
    <x v="17"/>
    <x v="0"/>
    <x v="0"/>
    <x v="1"/>
    <x v="1"/>
  </r>
  <r>
    <s v="WQ-117"/>
    <d v="2022-06-07T00:00:00"/>
    <x v="4"/>
    <x v="3"/>
    <x v="1"/>
    <x v="16"/>
    <x v="109"/>
    <x v="111"/>
    <x v="20"/>
    <x v="58"/>
    <x v="11"/>
    <x v="12"/>
    <x v="0"/>
    <x v="0"/>
    <x v="1"/>
    <x v="1"/>
  </r>
  <r>
    <s v="WQ-118"/>
    <d v="2022-09-15T00:00:00"/>
    <x v="11"/>
    <x v="3"/>
    <x v="0"/>
    <x v="26"/>
    <x v="110"/>
    <x v="112"/>
    <x v="58"/>
    <x v="40"/>
    <x v="5"/>
    <x v="15"/>
    <x v="1"/>
    <x v="1"/>
    <x v="1"/>
    <x v="0"/>
  </r>
  <r>
    <s v="WQ-119"/>
    <d v="2022-04-09T00:00:00"/>
    <x v="3"/>
    <x v="1"/>
    <x v="0"/>
    <x v="10"/>
    <x v="111"/>
    <x v="113"/>
    <x v="100"/>
    <x v="54"/>
    <x v="14"/>
    <x v="11"/>
    <x v="0"/>
    <x v="0"/>
    <x v="1"/>
    <x v="1"/>
  </r>
  <r>
    <s v="WQ-120"/>
    <d v="2022-11-18T00:00:00"/>
    <x v="6"/>
    <x v="4"/>
    <x v="2"/>
    <x v="29"/>
    <x v="112"/>
    <x v="114"/>
    <x v="101"/>
    <x v="55"/>
    <x v="2"/>
    <x v="5"/>
    <x v="0"/>
    <x v="0"/>
    <x v="0"/>
    <x v="0"/>
  </r>
  <r>
    <s v="WQ-121"/>
    <d v="2022-05-18T00:00:00"/>
    <x v="9"/>
    <x v="0"/>
    <x v="0"/>
    <x v="7"/>
    <x v="113"/>
    <x v="115"/>
    <x v="102"/>
    <x v="6"/>
    <x v="15"/>
    <x v="16"/>
    <x v="1"/>
    <x v="0"/>
    <x v="1"/>
    <x v="0"/>
  </r>
  <r>
    <s v="WQ-122"/>
    <d v="2022-10-18T00:00:00"/>
    <x v="10"/>
    <x v="3"/>
    <x v="2"/>
    <x v="5"/>
    <x v="114"/>
    <x v="116"/>
    <x v="103"/>
    <x v="8"/>
    <x v="1"/>
    <x v="3"/>
    <x v="0"/>
    <x v="1"/>
    <x v="1"/>
    <x v="0"/>
  </r>
  <r>
    <s v="WQ-123"/>
    <d v="2022-01-05T00:00:00"/>
    <x v="5"/>
    <x v="2"/>
    <x v="0"/>
    <x v="15"/>
    <x v="115"/>
    <x v="117"/>
    <x v="104"/>
    <x v="48"/>
    <x v="17"/>
    <x v="22"/>
    <x v="1"/>
    <x v="0"/>
    <x v="0"/>
    <x v="0"/>
  </r>
  <r>
    <s v="WQ-124"/>
    <d v="2022-07-20T00:00:00"/>
    <x v="0"/>
    <x v="0"/>
    <x v="2"/>
    <x v="19"/>
    <x v="116"/>
    <x v="118"/>
    <x v="105"/>
    <x v="59"/>
    <x v="0"/>
    <x v="25"/>
    <x v="1"/>
    <x v="1"/>
    <x v="0"/>
    <x v="0"/>
  </r>
  <r>
    <s v="WQ-125"/>
    <d v="2022-06-21T00:00:00"/>
    <x v="4"/>
    <x v="2"/>
    <x v="1"/>
    <x v="11"/>
    <x v="117"/>
    <x v="94"/>
    <x v="106"/>
    <x v="24"/>
    <x v="5"/>
    <x v="4"/>
    <x v="1"/>
    <x v="1"/>
    <x v="1"/>
    <x v="0"/>
  </r>
  <r>
    <s v="WQ-126"/>
    <d v="2022-06-12T00:00:00"/>
    <x v="4"/>
    <x v="0"/>
    <x v="0"/>
    <x v="12"/>
    <x v="118"/>
    <x v="119"/>
    <x v="107"/>
    <x v="19"/>
    <x v="14"/>
    <x v="0"/>
    <x v="0"/>
    <x v="1"/>
    <x v="1"/>
    <x v="0"/>
  </r>
  <r>
    <s v="WQ-127"/>
    <d v="2022-03-04T00:00:00"/>
    <x v="7"/>
    <x v="1"/>
    <x v="0"/>
    <x v="1"/>
    <x v="119"/>
    <x v="120"/>
    <x v="108"/>
    <x v="31"/>
    <x v="3"/>
    <x v="21"/>
    <x v="1"/>
    <x v="0"/>
    <x v="1"/>
    <x v="0"/>
  </r>
  <r>
    <s v="WQ-128"/>
    <d v="2022-02-11T00:00:00"/>
    <x v="8"/>
    <x v="3"/>
    <x v="0"/>
    <x v="3"/>
    <x v="120"/>
    <x v="121"/>
    <x v="109"/>
    <x v="60"/>
    <x v="1"/>
    <x v="25"/>
    <x v="0"/>
    <x v="1"/>
    <x v="1"/>
    <x v="0"/>
  </r>
  <r>
    <s v="WQ-129"/>
    <d v="2022-04-22T00:00:00"/>
    <x v="3"/>
    <x v="4"/>
    <x v="2"/>
    <x v="17"/>
    <x v="121"/>
    <x v="122"/>
    <x v="90"/>
    <x v="57"/>
    <x v="18"/>
    <x v="11"/>
    <x v="0"/>
    <x v="1"/>
    <x v="0"/>
    <x v="0"/>
  </r>
  <r>
    <s v="WQ-130"/>
    <d v="2022-10-23T00:00:00"/>
    <x v="10"/>
    <x v="1"/>
    <x v="0"/>
    <x v="29"/>
    <x v="122"/>
    <x v="123"/>
    <x v="110"/>
    <x v="61"/>
    <x v="15"/>
    <x v="23"/>
    <x v="0"/>
    <x v="1"/>
    <x v="1"/>
    <x v="0"/>
  </r>
  <r>
    <s v="WQ-131"/>
    <d v="2022-06-15T00:00:00"/>
    <x v="4"/>
    <x v="1"/>
    <x v="1"/>
    <x v="20"/>
    <x v="123"/>
    <x v="124"/>
    <x v="70"/>
    <x v="29"/>
    <x v="19"/>
    <x v="23"/>
    <x v="0"/>
    <x v="0"/>
    <x v="1"/>
    <x v="1"/>
  </r>
  <r>
    <s v="WQ-132"/>
    <d v="2022-06-22T00:00:00"/>
    <x v="4"/>
    <x v="4"/>
    <x v="1"/>
    <x v="7"/>
    <x v="124"/>
    <x v="125"/>
    <x v="111"/>
    <x v="41"/>
    <x v="17"/>
    <x v="25"/>
    <x v="1"/>
    <x v="0"/>
    <x v="0"/>
    <x v="0"/>
  </r>
  <r>
    <s v="WQ-133"/>
    <d v="2022-06-26T00:00:00"/>
    <x v="4"/>
    <x v="0"/>
    <x v="0"/>
    <x v="15"/>
    <x v="125"/>
    <x v="126"/>
    <x v="112"/>
    <x v="62"/>
    <x v="14"/>
    <x v="11"/>
    <x v="1"/>
    <x v="0"/>
    <x v="1"/>
    <x v="0"/>
  </r>
  <r>
    <s v="WQ-134"/>
    <d v="2022-10-14T00:00:00"/>
    <x v="10"/>
    <x v="2"/>
    <x v="1"/>
    <x v="13"/>
    <x v="126"/>
    <x v="127"/>
    <x v="113"/>
    <x v="39"/>
    <x v="7"/>
    <x v="17"/>
    <x v="0"/>
    <x v="1"/>
    <x v="0"/>
    <x v="0"/>
  </r>
  <r>
    <s v="WQ-135"/>
    <d v="2022-02-28T00:00:00"/>
    <x v="8"/>
    <x v="0"/>
    <x v="0"/>
    <x v="3"/>
    <x v="127"/>
    <x v="128"/>
    <x v="114"/>
    <x v="60"/>
    <x v="11"/>
    <x v="19"/>
    <x v="0"/>
    <x v="1"/>
    <x v="1"/>
    <x v="0"/>
  </r>
  <r>
    <s v="WQ-136"/>
    <d v="2022-07-02T00:00:00"/>
    <x v="0"/>
    <x v="4"/>
    <x v="2"/>
    <x v="29"/>
    <x v="128"/>
    <x v="129"/>
    <x v="56"/>
    <x v="34"/>
    <x v="6"/>
    <x v="22"/>
    <x v="0"/>
    <x v="0"/>
    <x v="1"/>
    <x v="1"/>
  </r>
  <r>
    <s v="WQ-137"/>
    <d v="2022-03-28T00:00:00"/>
    <x v="7"/>
    <x v="0"/>
    <x v="2"/>
    <x v="28"/>
    <x v="129"/>
    <x v="130"/>
    <x v="53"/>
    <x v="41"/>
    <x v="6"/>
    <x v="16"/>
    <x v="0"/>
    <x v="0"/>
    <x v="1"/>
    <x v="1"/>
  </r>
  <r>
    <s v="WQ-138"/>
    <d v="2022-08-17T00:00:00"/>
    <x v="1"/>
    <x v="0"/>
    <x v="1"/>
    <x v="17"/>
    <x v="130"/>
    <x v="131"/>
    <x v="115"/>
    <x v="16"/>
    <x v="13"/>
    <x v="14"/>
    <x v="0"/>
    <x v="1"/>
    <x v="1"/>
    <x v="0"/>
  </r>
  <r>
    <s v="WQ-139"/>
    <d v="2022-02-24T00:00:00"/>
    <x v="8"/>
    <x v="2"/>
    <x v="2"/>
    <x v="6"/>
    <x v="131"/>
    <x v="132"/>
    <x v="116"/>
    <x v="63"/>
    <x v="9"/>
    <x v="17"/>
    <x v="0"/>
    <x v="0"/>
    <x v="0"/>
    <x v="0"/>
  </r>
  <r>
    <s v="WQ-140"/>
    <d v="2022-06-08T00:00:00"/>
    <x v="4"/>
    <x v="2"/>
    <x v="1"/>
    <x v="10"/>
    <x v="132"/>
    <x v="133"/>
    <x v="117"/>
    <x v="4"/>
    <x v="9"/>
    <x v="8"/>
    <x v="0"/>
    <x v="0"/>
    <x v="0"/>
    <x v="0"/>
  </r>
  <r>
    <s v="WQ-141"/>
    <d v="2022-09-20T00:00:00"/>
    <x v="11"/>
    <x v="0"/>
    <x v="0"/>
    <x v="15"/>
    <x v="133"/>
    <x v="134"/>
    <x v="23"/>
    <x v="56"/>
    <x v="0"/>
    <x v="13"/>
    <x v="1"/>
    <x v="1"/>
    <x v="0"/>
    <x v="0"/>
  </r>
  <r>
    <s v="WQ-142"/>
    <d v="2022-05-14T00:00:00"/>
    <x v="9"/>
    <x v="0"/>
    <x v="2"/>
    <x v="30"/>
    <x v="134"/>
    <x v="135"/>
    <x v="19"/>
    <x v="37"/>
    <x v="14"/>
    <x v="23"/>
    <x v="0"/>
    <x v="0"/>
    <x v="1"/>
    <x v="1"/>
  </r>
  <r>
    <s v="WQ-143"/>
    <d v="2022-01-13T00:00:00"/>
    <x v="5"/>
    <x v="4"/>
    <x v="0"/>
    <x v="23"/>
    <x v="135"/>
    <x v="136"/>
    <x v="118"/>
    <x v="56"/>
    <x v="11"/>
    <x v="7"/>
    <x v="1"/>
    <x v="1"/>
    <x v="1"/>
    <x v="0"/>
  </r>
  <r>
    <s v="WQ-144"/>
    <d v="2022-01-02T00:00:00"/>
    <x v="5"/>
    <x v="1"/>
    <x v="0"/>
    <x v="21"/>
    <x v="136"/>
    <x v="137"/>
    <x v="30"/>
    <x v="64"/>
    <x v="2"/>
    <x v="2"/>
    <x v="1"/>
    <x v="0"/>
    <x v="0"/>
    <x v="0"/>
  </r>
  <r>
    <s v="WQ-145"/>
    <d v="2022-06-22T00:00:00"/>
    <x v="4"/>
    <x v="2"/>
    <x v="1"/>
    <x v="23"/>
    <x v="137"/>
    <x v="138"/>
    <x v="119"/>
    <x v="42"/>
    <x v="20"/>
    <x v="0"/>
    <x v="1"/>
    <x v="0"/>
    <x v="1"/>
    <x v="0"/>
  </r>
  <r>
    <s v="WQ-146"/>
    <d v="2022-03-15T00:00:00"/>
    <x v="7"/>
    <x v="3"/>
    <x v="2"/>
    <x v="7"/>
    <x v="138"/>
    <x v="139"/>
    <x v="120"/>
    <x v="64"/>
    <x v="7"/>
    <x v="20"/>
    <x v="1"/>
    <x v="0"/>
    <x v="0"/>
    <x v="0"/>
  </r>
  <r>
    <s v="WQ-147"/>
    <d v="2022-03-16T00:00:00"/>
    <x v="7"/>
    <x v="1"/>
    <x v="2"/>
    <x v="2"/>
    <x v="139"/>
    <x v="140"/>
    <x v="121"/>
    <x v="6"/>
    <x v="8"/>
    <x v="12"/>
    <x v="0"/>
    <x v="0"/>
    <x v="0"/>
    <x v="0"/>
  </r>
  <r>
    <s v="WQ-148"/>
    <d v="2022-02-13T00:00:00"/>
    <x v="8"/>
    <x v="3"/>
    <x v="1"/>
    <x v="18"/>
    <x v="140"/>
    <x v="141"/>
    <x v="3"/>
    <x v="14"/>
    <x v="18"/>
    <x v="9"/>
    <x v="0"/>
    <x v="1"/>
    <x v="0"/>
    <x v="0"/>
  </r>
  <r>
    <s v="WQ-149"/>
    <d v="2022-05-08T00:00:00"/>
    <x v="9"/>
    <x v="2"/>
    <x v="0"/>
    <x v="13"/>
    <x v="141"/>
    <x v="10"/>
    <x v="122"/>
    <x v="65"/>
    <x v="20"/>
    <x v="23"/>
    <x v="0"/>
    <x v="0"/>
    <x v="1"/>
    <x v="1"/>
  </r>
  <r>
    <s v="WQ-150"/>
    <d v="2022-03-14T00:00:00"/>
    <x v="7"/>
    <x v="0"/>
    <x v="0"/>
    <x v="12"/>
    <x v="142"/>
    <x v="142"/>
    <x v="89"/>
    <x v="66"/>
    <x v="5"/>
    <x v="10"/>
    <x v="0"/>
    <x v="0"/>
    <x v="1"/>
    <x v="1"/>
  </r>
  <r>
    <s v="WQ-151"/>
    <d v="2022-11-09T00:00:00"/>
    <x v="6"/>
    <x v="1"/>
    <x v="0"/>
    <x v="2"/>
    <x v="143"/>
    <x v="143"/>
    <x v="26"/>
    <x v="40"/>
    <x v="3"/>
    <x v="13"/>
    <x v="0"/>
    <x v="1"/>
    <x v="1"/>
    <x v="0"/>
  </r>
  <r>
    <s v="WQ-152"/>
    <d v="2022-02-04T00:00:00"/>
    <x v="8"/>
    <x v="3"/>
    <x v="2"/>
    <x v="26"/>
    <x v="35"/>
    <x v="144"/>
    <x v="123"/>
    <x v="53"/>
    <x v="8"/>
    <x v="9"/>
    <x v="1"/>
    <x v="0"/>
    <x v="0"/>
    <x v="0"/>
  </r>
  <r>
    <s v="WQ-153"/>
    <d v="2022-11-05T00:00:00"/>
    <x v="6"/>
    <x v="0"/>
    <x v="0"/>
    <x v="9"/>
    <x v="144"/>
    <x v="145"/>
    <x v="33"/>
    <x v="42"/>
    <x v="11"/>
    <x v="17"/>
    <x v="0"/>
    <x v="0"/>
    <x v="1"/>
    <x v="1"/>
  </r>
  <r>
    <s v="WQ-154"/>
    <d v="2022-03-23T00:00:00"/>
    <x v="7"/>
    <x v="2"/>
    <x v="1"/>
    <x v="8"/>
    <x v="145"/>
    <x v="146"/>
    <x v="96"/>
    <x v="2"/>
    <x v="16"/>
    <x v="6"/>
    <x v="0"/>
    <x v="0"/>
    <x v="0"/>
    <x v="0"/>
  </r>
  <r>
    <s v="WQ-155"/>
    <d v="2022-05-27T00:00:00"/>
    <x v="9"/>
    <x v="2"/>
    <x v="1"/>
    <x v="18"/>
    <x v="146"/>
    <x v="147"/>
    <x v="124"/>
    <x v="58"/>
    <x v="20"/>
    <x v="24"/>
    <x v="0"/>
    <x v="0"/>
    <x v="1"/>
    <x v="1"/>
  </r>
  <r>
    <s v="WQ-156"/>
    <d v="2022-05-16T00:00:00"/>
    <x v="9"/>
    <x v="2"/>
    <x v="0"/>
    <x v="1"/>
    <x v="147"/>
    <x v="148"/>
    <x v="125"/>
    <x v="67"/>
    <x v="18"/>
    <x v="5"/>
    <x v="1"/>
    <x v="1"/>
    <x v="0"/>
    <x v="0"/>
  </r>
  <r>
    <s v="WQ-157"/>
    <d v="2022-04-14T00:00:00"/>
    <x v="3"/>
    <x v="0"/>
    <x v="0"/>
    <x v="14"/>
    <x v="148"/>
    <x v="149"/>
    <x v="104"/>
    <x v="45"/>
    <x v="10"/>
    <x v="3"/>
    <x v="0"/>
    <x v="1"/>
    <x v="1"/>
    <x v="0"/>
  </r>
  <r>
    <s v="WQ-158"/>
    <d v="2022-09-05T00:00:00"/>
    <x v="11"/>
    <x v="3"/>
    <x v="0"/>
    <x v="0"/>
    <x v="149"/>
    <x v="124"/>
    <x v="126"/>
    <x v="2"/>
    <x v="15"/>
    <x v="23"/>
    <x v="0"/>
    <x v="0"/>
    <x v="1"/>
    <x v="1"/>
  </r>
  <r>
    <s v="WQ-159"/>
    <d v="2022-12-04T00:00:00"/>
    <x v="2"/>
    <x v="0"/>
    <x v="2"/>
    <x v="15"/>
    <x v="150"/>
    <x v="150"/>
    <x v="127"/>
    <x v="68"/>
    <x v="17"/>
    <x v="16"/>
    <x v="1"/>
    <x v="1"/>
    <x v="0"/>
    <x v="0"/>
  </r>
  <r>
    <s v="WQ-160"/>
    <d v="2022-12-25T00:00:00"/>
    <x v="2"/>
    <x v="2"/>
    <x v="2"/>
    <x v="12"/>
    <x v="151"/>
    <x v="151"/>
    <x v="128"/>
    <x v="14"/>
    <x v="16"/>
    <x v="20"/>
    <x v="0"/>
    <x v="1"/>
    <x v="0"/>
    <x v="0"/>
  </r>
  <r>
    <s v="WQ-161"/>
    <d v="2022-09-19T00:00:00"/>
    <x v="11"/>
    <x v="2"/>
    <x v="0"/>
    <x v="15"/>
    <x v="152"/>
    <x v="152"/>
    <x v="129"/>
    <x v="69"/>
    <x v="3"/>
    <x v="5"/>
    <x v="1"/>
    <x v="0"/>
    <x v="1"/>
    <x v="0"/>
  </r>
  <r>
    <s v="WQ-162"/>
    <d v="2022-09-07T00:00:00"/>
    <x v="11"/>
    <x v="3"/>
    <x v="0"/>
    <x v="16"/>
    <x v="153"/>
    <x v="153"/>
    <x v="29"/>
    <x v="61"/>
    <x v="10"/>
    <x v="16"/>
    <x v="0"/>
    <x v="1"/>
    <x v="1"/>
    <x v="0"/>
  </r>
  <r>
    <s v="WQ-163"/>
    <d v="2022-10-27T00:00:00"/>
    <x v="10"/>
    <x v="3"/>
    <x v="2"/>
    <x v="10"/>
    <x v="154"/>
    <x v="154"/>
    <x v="121"/>
    <x v="21"/>
    <x v="7"/>
    <x v="12"/>
    <x v="0"/>
    <x v="1"/>
    <x v="0"/>
    <x v="0"/>
  </r>
  <r>
    <s v="WQ-164"/>
    <d v="2022-10-16T00:00:00"/>
    <x v="10"/>
    <x v="3"/>
    <x v="2"/>
    <x v="25"/>
    <x v="155"/>
    <x v="32"/>
    <x v="112"/>
    <x v="22"/>
    <x v="5"/>
    <x v="16"/>
    <x v="1"/>
    <x v="0"/>
    <x v="1"/>
    <x v="0"/>
  </r>
  <r>
    <s v="WQ-165"/>
    <d v="2022-03-09T00:00:00"/>
    <x v="7"/>
    <x v="1"/>
    <x v="1"/>
    <x v="12"/>
    <x v="156"/>
    <x v="155"/>
    <x v="130"/>
    <x v="37"/>
    <x v="16"/>
    <x v="0"/>
    <x v="0"/>
    <x v="0"/>
    <x v="0"/>
    <x v="0"/>
  </r>
  <r>
    <s v="WQ-166"/>
    <d v="2022-09-28T00:00:00"/>
    <x v="11"/>
    <x v="3"/>
    <x v="0"/>
    <x v="10"/>
    <x v="157"/>
    <x v="156"/>
    <x v="131"/>
    <x v="50"/>
    <x v="8"/>
    <x v="12"/>
    <x v="0"/>
    <x v="0"/>
    <x v="0"/>
    <x v="0"/>
  </r>
  <r>
    <s v="WQ-167"/>
    <d v="2022-01-05T00:00:00"/>
    <x v="5"/>
    <x v="4"/>
    <x v="1"/>
    <x v="20"/>
    <x v="158"/>
    <x v="157"/>
    <x v="132"/>
    <x v="55"/>
    <x v="11"/>
    <x v="22"/>
    <x v="0"/>
    <x v="0"/>
    <x v="1"/>
    <x v="1"/>
  </r>
  <r>
    <s v="WQ-168"/>
    <d v="2022-12-09T00:00:00"/>
    <x v="2"/>
    <x v="0"/>
    <x v="2"/>
    <x v="18"/>
    <x v="159"/>
    <x v="158"/>
    <x v="4"/>
    <x v="11"/>
    <x v="10"/>
    <x v="14"/>
    <x v="0"/>
    <x v="0"/>
    <x v="1"/>
    <x v="1"/>
  </r>
  <r>
    <s v="WQ-169"/>
    <d v="2022-02-18T00:00:00"/>
    <x v="8"/>
    <x v="3"/>
    <x v="1"/>
    <x v="11"/>
    <x v="160"/>
    <x v="18"/>
    <x v="80"/>
    <x v="59"/>
    <x v="2"/>
    <x v="4"/>
    <x v="1"/>
    <x v="1"/>
    <x v="0"/>
    <x v="0"/>
  </r>
  <r>
    <s v="WQ-170"/>
    <d v="2022-04-22T00:00:00"/>
    <x v="3"/>
    <x v="4"/>
    <x v="1"/>
    <x v="6"/>
    <x v="161"/>
    <x v="159"/>
    <x v="133"/>
    <x v="61"/>
    <x v="8"/>
    <x v="23"/>
    <x v="0"/>
    <x v="1"/>
    <x v="0"/>
    <x v="0"/>
  </r>
  <r>
    <s v="WQ-171"/>
    <d v="2022-06-16T00:00:00"/>
    <x v="4"/>
    <x v="4"/>
    <x v="2"/>
    <x v="23"/>
    <x v="162"/>
    <x v="160"/>
    <x v="42"/>
    <x v="18"/>
    <x v="7"/>
    <x v="12"/>
    <x v="1"/>
    <x v="0"/>
    <x v="0"/>
    <x v="0"/>
  </r>
  <r>
    <s v="WQ-172"/>
    <d v="2022-07-22T00:00:00"/>
    <x v="0"/>
    <x v="0"/>
    <x v="2"/>
    <x v="7"/>
    <x v="163"/>
    <x v="161"/>
    <x v="122"/>
    <x v="16"/>
    <x v="16"/>
    <x v="4"/>
    <x v="1"/>
    <x v="1"/>
    <x v="0"/>
    <x v="0"/>
  </r>
  <r>
    <s v="WQ-173"/>
    <d v="2022-10-17T00:00:00"/>
    <x v="10"/>
    <x v="3"/>
    <x v="2"/>
    <x v="8"/>
    <x v="164"/>
    <x v="162"/>
    <x v="134"/>
    <x v="70"/>
    <x v="17"/>
    <x v="13"/>
    <x v="0"/>
    <x v="1"/>
    <x v="0"/>
    <x v="0"/>
  </r>
  <r>
    <s v="WQ-174"/>
    <d v="2022-05-09T00:00:00"/>
    <x v="9"/>
    <x v="0"/>
    <x v="2"/>
    <x v="29"/>
    <x v="165"/>
    <x v="163"/>
    <x v="4"/>
    <x v="15"/>
    <x v="20"/>
    <x v="7"/>
    <x v="0"/>
    <x v="0"/>
    <x v="1"/>
    <x v="1"/>
  </r>
  <r>
    <s v="WQ-175"/>
    <d v="2022-06-17T00:00:00"/>
    <x v="4"/>
    <x v="0"/>
    <x v="2"/>
    <x v="6"/>
    <x v="166"/>
    <x v="164"/>
    <x v="123"/>
    <x v="19"/>
    <x v="0"/>
    <x v="13"/>
    <x v="0"/>
    <x v="1"/>
    <x v="0"/>
    <x v="0"/>
  </r>
  <r>
    <s v="WQ-176"/>
    <d v="2022-08-21T00:00:00"/>
    <x v="1"/>
    <x v="4"/>
    <x v="1"/>
    <x v="4"/>
    <x v="167"/>
    <x v="165"/>
    <x v="36"/>
    <x v="4"/>
    <x v="6"/>
    <x v="19"/>
    <x v="0"/>
    <x v="0"/>
    <x v="1"/>
    <x v="1"/>
  </r>
  <r>
    <s v="WQ-177"/>
    <d v="2022-03-03T00:00:00"/>
    <x v="7"/>
    <x v="1"/>
    <x v="1"/>
    <x v="26"/>
    <x v="168"/>
    <x v="114"/>
    <x v="135"/>
    <x v="10"/>
    <x v="19"/>
    <x v="3"/>
    <x v="1"/>
    <x v="0"/>
    <x v="1"/>
    <x v="0"/>
  </r>
  <r>
    <s v="WQ-178"/>
    <d v="2022-02-16T00:00:00"/>
    <x v="8"/>
    <x v="4"/>
    <x v="0"/>
    <x v="0"/>
    <x v="169"/>
    <x v="166"/>
    <x v="105"/>
    <x v="70"/>
    <x v="13"/>
    <x v="7"/>
    <x v="0"/>
    <x v="1"/>
    <x v="1"/>
    <x v="0"/>
  </r>
  <r>
    <s v="WQ-179"/>
    <d v="2022-02-02T00:00:00"/>
    <x v="8"/>
    <x v="4"/>
    <x v="2"/>
    <x v="28"/>
    <x v="170"/>
    <x v="167"/>
    <x v="41"/>
    <x v="60"/>
    <x v="1"/>
    <x v="20"/>
    <x v="0"/>
    <x v="1"/>
    <x v="1"/>
    <x v="0"/>
  </r>
  <r>
    <s v="WQ-180"/>
    <d v="2022-12-23T00:00:00"/>
    <x v="2"/>
    <x v="3"/>
    <x v="0"/>
    <x v="29"/>
    <x v="171"/>
    <x v="168"/>
    <x v="136"/>
    <x v="65"/>
    <x v="5"/>
    <x v="7"/>
    <x v="0"/>
    <x v="0"/>
    <x v="1"/>
    <x v="1"/>
  </r>
  <r>
    <s v="WQ-181"/>
    <d v="2022-07-22T00:00:00"/>
    <x v="0"/>
    <x v="0"/>
    <x v="1"/>
    <x v="1"/>
    <x v="172"/>
    <x v="169"/>
    <x v="87"/>
    <x v="34"/>
    <x v="4"/>
    <x v="25"/>
    <x v="1"/>
    <x v="0"/>
    <x v="0"/>
    <x v="0"/>
  </r>
  <r>
    <s v="WQ-182"/>
    <d v="2022-11-25T00:00:00"/>
    <x v="6"/>
    <x v="1"/>
    <x v="2"/>
    <x v="20"/>
    <x v="173"/>
    <x v="19"/>
    <x v="137"/>
    <x v="63"/>
    <x v="11"/>
    <x v="25"/>
    <x v="0"/>
    <x v="0"/>
    <x v="1"/>
    <x v="1"/>
  </r>
  <r>
    <s v="WQ-183"/>
    <d v="2022-01-05T00:00:00"/>
    <x v="5"/>
    <x v="0"/>
    <x v="1"/>
    <x v="1"/>
    <x v="65"/>
    <x v="170"/>
    <x v="117"/>
    <x v="44"/>
    <x v="14"/>
    <x v="21"/>
    <x v="1"/>
    <x v="0"/>
    <x v="1"/>
    <x v="0"/>
  </r>
  <r>
    <s v="WQ-184"/>
    <d v="2022-08-04T00:00:00"/>
    <x v="1"/>
    <x v="1"/>
    <x v="0"/>
    <x v="25"/>
    <x v="174"/>
    <x v="171"/>
    <x v="6"/>
    <x v="14"/>
    <x v="11"/>
    <x v="1"/>
    <x v="1"/>
    <x v="1"/>
    <x v="1"/>
    <x v="0"/>
  </r>
  <r>
    <s v="WQ-185"/>
    <d v="2022-04-21T00:00:00"/>
    <x v="3"/>
    <x v="3"/>
    <x v="0"/>
    <x v="9"/>
    <x v="175"/>
    <x v="172"/>
    <x v="138"/>
    <x v="32"/>
    <x v="3"/>
    <x v="21"/>
    <x v="0"/>
    <x v="0"/>
    <x v="1"/>
    <x v="1"/>
  </r>
  <r>
    <s v="WQ-186"/>
    <d v="2022-05-19T00:00:00"/>
    <x v="9"/>
    <x v="2"/>
    <x v="0"/>
    <x v="24"/>
    <x v="176"/>
    <x v="71"/>
    <x v="139"/>
    <x v="61"/>
    <x v="16"/>
    <x v="23"/>
    <x v="1"/>
    <x v="1"/>
    <x v="0"/>
    <x v="0"/>
  </r>
  <r>
    <s v="WQ-187"/>
    <d v="2022-09-24T00:00:00"/>
    <x v="11"/>
    <x v="0"/>
    <x v="2"/>
    <x v="12"/>
    <x v="177"/>
    <x v="173"/>
    <x v="60"/>
    <x v="51"/>
    <x v="8"/>
    <x v="4"/>
    <x v="0"/>
    <x v="0"/>
    <x v="0"/>
    <x v="0"/>
  </r>
  <r>
    <s v="WQ-188"/>
    <d v="2022-08-10T00:00:00"/>
    <x v="1"/>
    <x v="3"/>
    <x v="2"/>
    <x v="29"/>
    <x v="178"/>
    <x v="113"/>
    <x v="47"/>
    <x v="3"/>
    <x v="4"/>
    <x v="4"/>
    <x v="0"/>
    <x v="0"/>
    <x v="0"/>
    <x v="0"/>
  </r>
  <r>
    <s v="WQ-189"/>
    <d v="2022-10-07T00:00:00"/>
    <x v="10"/>
    <x v="1"/>
    <x v="0"/>
    <x v="26"/>
    <x v="179"/>
    <x v="174"/>
    <x v="140"/>
    <x v="63"/>
    <x v="8"/>
    <x v="3"/>
    <x v="1"/>
    <x v="0"/>
    <x v="0"/>
    <x v="0"/>
  </r>
  <r>
    <s v="WQ-190"/>
    <d v="2022-01-05T00:00:00"/>
    <x v="5"/>
    <x v="3"/>
    <x v="0"/>
    <x v="22"/>
    <x v="147"/>
    <x v="175"/>
    <x v="141"/>
    <x v="62"/>
    <x v="1"/>
    <x v="10"/>
    <x v="0"/>
    <x v="0"/>
    <x v="1"/>
    <x v="1"/>
  </r>
  <r>
    <s v="WQ-191"/>
    <d v="2022-04-24T00:00:00"/>
    <x v="3"/>
    <x v="4"/>
    <x v="2"/>
    <x v="5"/>
    <x v="180"/>
    <x v="176"/>
    <x v="142"/>
    <x v="45"/>
    <x v="8"/>
    <x v="2"/>
    <x v="0"/>
    <x v="1"/>
    <x v="0"/>
    <x v="0"/>
  </r>
  <r>
    <s v="WQ-192"/>
    <d v="2022-06-26T00:00:00"/>
    <x v="4"/>
    <x v="1"/>
    <x v="2"/>
    <x v="28"/>
    <x v="181"/>
    <x v="177"/>
    <x v="143"/>
    <x v="15"/>
    <x v="19"/>
    <x v="22"/>
    <x v="0"/>
    <x v="0"/>
    <x v="1"/>
    <x v="1"/>
  </r>
  <r>
    <s v="WQ-193"/>
    <d v="2022-10-22T00:00:00"/>
    <x v="10"/>
    <x v="2"/>
    <x v="2"/>
    <x v="16"/>
    <x v="182"/>
    <x v="178"/>
    <x v="144"/>
    <x v="60"/>
    <x v="8"/>
    <x v="15"/>
    <x v="0"/>
    <x v="1"/>
    <x v="0"/>
    <x v="0"/>
  </r>
  <r>
    <s v="WQ-194"/>
    <d v="2022-01-18T00:00:00"/>
    <x v="5"/>
    <x v="3"/>
    <x v="2"/>
    <x v="22"/>
    <x v="183"/>
    <x v="179"/>
    <x v="145"/>
    <x v="58"/>
    <x v="15"/>
    <x v="4"/>
    <x v="0"/>
    <x v="0"/>
    <x v="1"/>
    <x v="1"/>
  </r>
  <r>
    <s v="WQ-195"/>
    <d v="2022-04-12T00:00:00"/>
    <x v="3"/>
    <x v="4"/>
    <x v="2"/>
    <x v="5"/>
    <x v="184"/>
    <x v="180"/>
    <x v="146"/>
    <x v="28"/>
    <x v="3"/>
    <x v="11"/>
    <x v="0"/>
    <x v="0"/>
    <x v="1"/>
    <x v="1"/>
  </r>
  <r>
    <s v="WQ-196"/>
    <d v="2022-08-21T00:00:00"/>
    <x v="1"/>
    <x v="3"/>
    <x v="0"/>
    <x v="15"/>
    <x v="185"/>
    <x v="169"/>
    <x v="147"/>
    <x v="66"/>
    <x v="1"/>
    <x v="24"/>
    <x v="1"/>
    <x v="0"/>
    <x v="1"/>
    <x v="0"/>
  </r>
  <r>
    <s v="WQ-197"/>
    <d v="2022-11-28T00:00:00"/>
    <x v="6"/>
    <x v="3"/>
    <x v="1"/>
    <x v="22"/>
    <x v="186"/>
    <x v="181"/>
    <x v="148"/>
    <x v="57"/>
    <x v="5"/>
    <x v="22"/>
    <x v="0"/>
    <x v="1"/>
    <x v="1"/>
    <x v="0"/>
  </r>
  <r>
    <s v="WQ-198"/>
    <d v="2022-11-26T00:00:00"/>
    <x v="6"/>
    <x v="4"/>
    <x v="1"/>
    <x v="17"/>
    <x v="187"/>
    <x v="182"/>
    <x v="149"/>
    <x v="31"/>
    <x v="4"/>
    <x v="12"/>
    <x v="0"/>
    <x v="0"/>
    <x v="0"/>
    <x v="0"/>
  </r>
  <r>
    <s v="WQ-199"/>
    <d v="2022-08-28T00:00:00"/>
    <x v="1"/>
    <x v="2"/>
    <x v="2"/>
    <x v="6"/>
    <x v="188"/>
    <x v="183"/>
    <x v="134"/>
    <x v="56"/>
    <x v="18"/>
    <x v="10"/>
    <x v="0"/>
    <x v="1"/>
    <x v="0"/>
    <x v="0"/>
  </r>
  <r>
    <s v="WQ-200"/>
    <d v="2022-07-25T00:00:00"/>
    <x v="0"/>
    <x v="0"/>
    <x v="0"/>
    <x v="1"/>
    <x v="189"/>
    <x v="184"/>
    <x v="150"/>
    <x v="39"/>
    <x v="10"/>
    <x v="13"/>
    <x v="1"/>
    <x v="1"/>
    <x v="1"/>
    <x v="0"/>
  </r>
  <r>
    <s v="WQ-201"/>
    <d v="2022-06-06T00:00:00"/>
    <x v="4"/>
    <x v="2"/>
    <x v="1"/>
    <x v="12"/>
    <x v="190"/>
    <x v="185"/>
    <x v="52"/>
    <x v="40"/>
    <x v="16"/>
    <x v="17"/>
    <x v="0"/>
    <x v="1"/>
    <x v="0"/>
    <x v="0"/>
  </r>
  <r>
    <s v="WQ-202"/>
    <d v="2022-06-06T00:00:00"/>
    <x v="4"/>
    <x v="4"/>
    <x v="0"/>
    <x v="9"/>
    <x v="191"/>
    <x v="186"/>
    <x v="151"/>
    <x v="28"/>
    <x v="10"/>
    <x v="8"/>
    <x v="0"/>
    <x v="0"/>
    <x v="1"/>
    <x v="1"/>
  </r>
  <r>
    <s v="WQ-203"/>
    <d v="2022-11-05T00:00:00"/>
    <x v="6"/>
    <x v="3"/>
    <x v="1"/>
    <x v="10"/>
    <x v="192"/>
    <x v="69"/>
    <x v="152"/>
    <x v="59"/>
    <x v="20"/>
    <x v="6"/>
    <x v="0"/>
    <x v="1"/>
    <x v="1"/>
    <x v="0"/>
  </r>
  <r>
    <s v="WQ-204"/>
    <d v="2022-09-18T00:00:00"/>
    <x v="11"/>
    <x v="0"/>
    <x v="2"/>
    <x v="23"/>
    <x v="193"/>
    <x v="187"/>
    <x v="91"/>
    <x v="21"/>
    <x v="6"/>
    <x v="7"/>
    <x v="1"/>
    <x v="1"/>
    <x v="1"/>
    <x v="0"/>
  </r>
  <r>
    <s v="WQ-205"/>
    <d v="2022-09-23T00:00:00"/>
    <x v="11"/>
    <x v="2"/>
    <x v="0"/>
    <x v="28"/>
    <x v="194"/>
    <x v="65"/>
    <x v="153"/>
    <x v="66"/>
    <x v="15"/>
    <x v="24"/>
    <x v="0"/>
    <x v="0"/>
    <x v="1"/>
    <x v="1"/>
  </r>
  <r>
    <s v="WQ-206"/>
    <d v="2022-07-03T00:00:00"/>
    <x v="0"/>
    <x v="0"/>
    <x v="2"/>
    <x v="29"/>
    <x v="195"/>
    <x v="188"/>
    <x v="74"/>
    <x v="26"/>
    <x v="2"/>
    <x v="22"/>
    <x v="0"/>
    <x v="0"/>
    <x v="0"/>
    <x v="0"/>
  </r>
  <r>
    <s v="WQ-207"/>
    <d v="2022-08-23T00:00:00"/>
    <x v="1"/>
    <x v="1"/>
    <x v="0"/>
    <x v="5"/>
    <x v="149"/>
    <x v="189"/>
    <x v="86"/>
    <x v="11"/>
    <x v="7"/>
    <x v="13"/>
    <x v="0"/>
    <x v="0"/>
    <x v="0"/>
    <x v="0"/>
  </r>
  <r>
    <s v="WQ-208"/>
    <d v="2022-07-20T00:00:00"/>
    <x v="0"/>
    <x v="2"/>
    <x v="0"/>
    <x v="16"/>
    <x v="122"/>
    <x v="18"/>
    <x v="116"/>
    <x v="25"/>
    <x v="8"/>
    <x v="22"/>
    <x v="0"/>
    <x v="0"/>
    <x v="0"/>
    <x v="0"/>
  </r>
  <r>
    <s v="WQ-209"/>
    <d v="2022-01-16T00:00:00"/>
    <x v="5"/>
    <x v="4"/>
    <x v="0"/>
    <x v="24"/>
    <x v="196"/>
    <x v="94"/>
    <x v="154"/>
    <x v="28"/>
    <x v="9"/>
    <x v="18"/>
    <x v="1"/>
    <x v="0"/>
    <x v="0"/>
    <x v="0"/>
  </r>
  <r>
    <s v="WQ-210"/>
    <d v="2022-10-26T00:00:00"/>
    <x v="10"/>
    <x v="4"/>
    <x v="2"/>
    <x v="24"/>
    <x v="103"/>
    <x v="190"/>
    <x v="155"/>
    <x v="34"/>
    <x v="9"/>
    <x v="18"/>
    <x v="1"/>
    <x v="0"/>
    <x v="0"/>
    <x v="0"/>
  </r>
  <r>
    <s v="WQ-211"/>
    <d v="2022-11-02T00:00:00"/>
    <x v="6"/>
    <x v="3"/>
    <x v="2"/>
    <x v="23"/>
    <x v="67"/>
    <x v="191"/>
    <x v="156"/>
    <x v="33"/>
    <x v="6"/>
    <x v="11"/>
    <x v="1"/>
    <x v="1"/>
    <x v="1"/>
    <x v="0"/>
  </r>
  <r>
    <s v="WQ-212"/>
    <d v="2022-02-16T00:00:00"/>
    <x v="8"/>
    <x v="2"/>
    <x v="2"/>
    <x v="3"/>
    <x v="197"/>
    <x v="192"/>
    <x v="157"/>
    <x v="71"/>
    <x v="19"/>
    <x v="0"/>
    <x v="0"/>
    <x v="1"/>
    <x v="1"/>
    <x v="0"/>
  </r>
  <r>
    <s v="WQ-213"/>
    <d v="2022-07-22T00:00:00"/>
    <x v="0"/>
    <x v="3"/>
    <x v="2"/>
    <x v="13"/>
    <x v="198"/>
    <x v="193"/>
    <x v="158"/>
    <x v="53"/>
    <x v="1"/>
    <x v="8"/>
    <x v="0"/>
    <x v="0"/>
    <x v="1"/>
    <x v="1"/>
  </r>
  <r>
    <s v="WQ-214"/>
    <d v="2022-01-20T00:00:00"/>
    <x v="5"/>
    <x v="3"/>
    <x v="0"/>
    <x v="29"/>
    <x v="199"/>
    <x v="194"/>
    <x v="159"/>
    <x v="64"/>
    <x v="3"/>
    <x v="2"/>
    <x v="0"/>
    <x v="0"/>
    <x v="1"/>
    <x v="1"/>
  </r>
  <r>
    <s v="WQ-215"/>
    <d v="2022-08-01T00:00:00"/>
    <x v="1"/>
    <x v="3"/>
    <x v="1"/>
    <x v="16"/>
    <x v="200"/>
    <x v="195"/>
    <x v="160"/>
    <x v="15"/>
    <x v="4"/>
    <x v="1"/>
    <x v="0"/>
    <x v="0"/>
    <x v="0"/>
    <x v="0"/>
  </r>
  <r>
    <s v="WQ-216"/>
    <d v="2022-09-05T00:00:00"/>
    <x v="11"/>
    <x v="3"/>
    <x v="0"/>
    <x v="30"/>
    <x v="201"/>
    <x v="196"/>
    <x v="129"/>
    <x v="36"/>
    <x v="2"/>
    <x v="13"/>
    <x v="0"/>
    <x v="0"/>
    <x v="0"/>
    <x v="0"/>
  </r>
  <r>
    <s v="WQ-217"/>
    <d v="2022-10-16T00:00:00"/>
    <x v="10"/>
    <x v="2"/>
    <x v="0"/>
    <x v="30"/>
    <x v="202"/>
    <x v="197"/>
    <x v="32"/>
    <x v="7"/>
    <x v="2"/>
    <x v="23"/>
    <x v="0"/>
    <x v="0"/>
    <x v="0"/>
    <x v="0"/>
  </r>
  <r>
    <s v="WQ-218"/>
    <d v="2022-07-26T00:00:00"/>
    <x v="0"/>
    <x v="2"/>
    <x v="0"/>
    <x v="24"/>
    <x v="23"/>
    <x v="198"/>
    <x v="141"/>
    <x v="70"/>
    <x v="14"/>
    <x v="12"/>
    <x v="1"/>
    <x v="1"/>
    <x v="1"/>
    <x v="0"/>
  </r>
  <r>
    <s v="WQ-219"/>
    <d v="2022-08-14T00:00:00"/>
    <x v="1"/>
    <x v="3"/>
    <x v="2"/>
    <x v="1"/>
    <x v="203"/>
    <x v="199"/>
    <x v="100"/>
    <x v="58"/>
    <x v="5"/>
    <x v="16"/>
    <x v="1"/>
    <x v="0"/>
    <x v="1"/>
    <x v="0"/>
  </r>
  <r>
    <s v="WQ-220"/>
    <d v="2022-03-07T00:00:00"/>
    <x v="7"/>
    <x v="3"/>
    <x v="2"/>
    <x v="7"/>
    <x v="204"/>
    <x v="200"/>
    <x v="161"/>
    <x v="54"/>
    <x v="10"/>
    <x v="6"/>
    <x v="1"/>
    <x v="0"/>
    <x v="1"/>
    <x v="0"/>
  </r>
  <r>
    <s v="WQ-221"/>
    <d v="2022-03-19T00:00:00"/>
    <x v="7"/>
    <x v="0"/>
    <x v="1"/>
    <x v="2"/>
    <x v="205"/>
    <x v="201"/>
    <x v="90"/>
    <x v="72"/>
    <x v="15"/>
    <x v="7"/>
    <x v="0"/>
    <x v="0"/>
    <x v="1"/>
    <x v="1"/>
  </r>
  <r>
    <s v="WQ-222"/>
    <d v="2022-11-01T00:00:00"/>
    <x v="6"/>
    <x v="2"/>
    <x v="0"/>
    <x v="6"/>
    <x v="206"/>
    <x v="202"/>
    <x v="162"/>
    <x v="24"/>
    <x v="6"/>
    <x v="4"/>
    <x v="0"/>
    <x v="1"/>
    <x v="1"/>
    <x v="0"/>
  </r>
  <r>
    <s v="WQ-223"/>
    <d v="2022-05-23T00:00:00"/>
    <x v="9"/>
    <x v="0"/>
    <x v="2"/>
    <x v="19"/>
    <x v="207"/>
    <x v="203"/>
    <x v="106"/>
    <x v="63"/>
    <x v="4"/>
    <x v="10"/>
    <x v="1"/>
    <x v="0"/>
    <x v="0"/>
    <x v="0"/>
  </r>
  <r>
    <s v="WQ-224"/>
    <d v="2022-07-14T00:00:00"/>
    <x v="0"/>
    <x v="3"/>
    <x v="2"/>
    <x v="4"/>
    <x v="208"/>
    <x v="204"/>
    <x v="163"/>
    <x v="38"/>
    <x v="12"/>
    <x v="2"/>
    <x v="0"/>
    <x v="1"/>
    <x v="0"/>
    <x v="0"/>
  </r>
  <r>
    <s v="WQ-225"/>
    <d v="2022-11-01T00:00:00"/>
    <x v="6"/>
    <x v="2"/>
    <x v="2"/>
    <x v="8"/>
    <x v="209"/>
    <x v="151"/>
    <x v="164"/>
    <x v="15"/>
    <x v="3"/>
    <x v="9"/>
    <x v="0"/>
    <x v="0"/>
    <x v="1"/>
    <x v="1"/>
  </r>
  <r>
    <s v="WQ-226"/>
    <d v="2022-04-19T00:00:00"/>
    <x v="3"/>
    <x v="1"/>
    <x v="0"/>
    <x v="8"/>
    <x v="210"/>
    <x v="205"/>
    <x v="161"/>
    <x v="73"/>
    <x v="14"/>
    <x v="21"/>
    <x v="0"/>
    <x v="1"/>
    <x v="1"/>
    <x v="0"/>
  </r>
  <r>
    <s v="WQ-227"/>
    <d v="2022-08-06T00:00:00"/>
    <x v="1"/>
    <x v="4"/>
    <x v="1"/>
    <x v="23"/>
    <x v="211"/>
    <x v="87"/>
    <x v="2"/>
    <x v="5"/>
    <x v="1"/>
    <x v="0"/>
    <x v="1"/>
    <x v="0"/>
    <x v="1"/>
    <x v="0"/>
  </r>
  <r>
    <s v="WQ-228"/>
    <d v="2022-08-09T00:00:00"/>
    <x v="1"/>
    <x v="4"/>
    <x v="0"/>
    <x v="25"/>
    <x v="212"/>
    <x v="2"/>
    <x v="165"/>
    <x v="53"/>
    <x v="12"/>
    <x v="18"/>
    <x v="1"/>
    <x v="0"/>
    <x v="0"/>
    <x v="0"/>
  </r>
  <r>
    <s v="WQ-229"/>
    <d v="2022-07-08T00:00:00"/>
    <x v="0"/>
    <x v="4"/>
    <x v="0"/>
    <x v="16"/>
    <x v="213"/>
    <x v="206"/>
    <x v="147"/>
    <x v="63"/>
    <x v="5"/>
    <x v="11"/>
    <x v="0"/>
    <x v="0"/>
    <x v="1"/>
    <x v="1"/>
  </r>
  <r>
    <s v="WQ-230"/>
    <d v="2022-04-12T00:00:00"/>
    <x v="3"/>
    <x v="1"/>
    <x v="0"/>
    <x v="10"/>
    <x v="214"/>
    <x v="207"/>
    <x v="15"/>
    <x v="21"/>
    <x v="1"/>
    <x v="25"/>
    <x v="0"/>
    <x v="1"/>
    <x v="1"/>
    <x v="0"/>
  </r>
  <r>
    <s v="WQ-231"/>
    <d v="2022-06-22T00:00:00"/>
    <x v="4"/>
    <x v="1"/>
    <x v="1"/>
    <x v="8"/>
    <x v="215"/>
    <x v="185"/>
    <x v="158"/>
    <x v="55"/>
    <x v="5"/>
    <x v="7"/>
    <x v="0"/>
    <x v="0"/>
    <x v="1"/>
    <x v="1"/>
  </r>
  <r>
    <s v="WQ-232"/>
    <d v="2022-12-11T00:00:00"/>
    <x v="2"/>
    <x v="0"/>
    <x v="0"/>
    <x v="28"/>
    <x v="216"/>
    <x v="145"/>
    <x v="166"/>
    <x v="48"/>
    <x v="10"/>
    <x v="11"/>
    <x v="0"/>
    <x v="0"/>
    <x v="1"/>
    <x v="1"/>
  </r>
  <r>
    <s v="WQ-233"/>
    <d v="2022-07-10T00:00:00"/>
    <x v="0"/>
    <x v="0"/>
    <x v="2"/>
    <x v="21"/>
    <x v="0"/>
    <x v="208"/>
    <x v="167"/>
    <x v="60"/>
    <x v="10"/>
    <x v="17"/>
    <x v="1"/>
    <x v="1"/>
    <x v="1"/>
    <x v="0"/>
  </r>
  <r>
    <s v="WQ-234"/>
    <d v="2022-08-22T00:00:00"/>
    <x v="1"/>
    <x v="2"/>
    <x v="1"/>
    <x v="30"/>
    <x v="217"/>
    <x v="209"/>
    <x v="5"/>
    <x v="62"/>
    <x v="1"/>
    <x v="14"/>
    <x v="0"/>
    <x v="0"/>
    <x v="1"/>
    <x v="1"/>
  </r>
  <r>
    <s v="WQ-235"/>
    <d v="2022-11-03T00:00:00"/>
    <x v="6"/>
    <x v="4"/>
    <x v="1"/>
    <x v="16"/>
    <x v="79"/>
    <x v="210"/>
    <x v="168"/>
    <x v="16"/>
    <x v="5"/>
    <x v="1"/>
    <x v="0"/>
    <x v="1"/>
    <x v="1"/>
    <x v="0"/>
  </r>
  <r>
    <s v="WQ-236"/>
    <d v="2022-04-07T00:00:00"/>
    <x v="3"/>
    <x v="4"/>
    <x v="2"/>
    <x v="25"/>
    <x v="218"/>
    <x v="211"/>
    <x v="41"/>
    <x v="54"/>
    <x v="13"/>
    <x v="9"/>
    <x v="1"/>
    <x v="0"/>
    <x v="1"/>
    <x v="0"/>
  </r>
  <r>
    <s v="WQ-237"/>
    <d v="2022-07-25T00:00:00"/>
    <x v="0"/>
    <x v="0"/>
    <x v="1"/>
    <x v="8"/>
    <x v="219"/>
    <x v="212"/>
    <x v="122"/>
    <x v="65"/>
    <x v="14"/>
    <x v="15"/>
    <x v="0"/>
    <x v="0"/>
    <x v="1"/>
    <x v="1"/>
  </r>
  <r>
    <s v="WQ-238"/>
    <d v="2022-08-24T00:00:00"/>
    <x v="1"/>
    <x v="3"/>
    <x v="2"/>
    <x v="6"/>
    <x v="220"/>
    <x v="213"/>
    <x v="169"/>
    <x v="34"/>
    <x v="5"/>
    <x v="3"/>
    <x v="0"/>
    <x v="0"/>
    <x v="1"/>
    <x v="1"/>
  </r>
  <r>
    <s v="WQ-239"/>
    <d v="2022-07-27T00:00:00"/>
    <x v="0"/>
    <x v="2"/>
    <x v="1"/>
    <x v="20"/>
    <x v="221"/>
    <x v="214"/>
    <x v="170"/>
    <x v="74"/>
    <x v="14"/>
    <x v="3"/>
    <x v="0"/>
    <x v="1"/>
    <x v="1"/>
    <x v="0"/>
  </r>
  <r>
    <s v="WQ-240"/>
    <d v="2022-09-17T00:00:00"/>
    <x v="11"/>
    <x v="0"/>
    <x v="1"/>
    <x v="27"/>
    <x v="199"/>
    <x v="14"/>
    <x v="171"/>
    <x v="19"/>
    <x v="17"/>
    <x v="9"/>
    <x v="0"/>
    <x v="1"/>
    <x v="0"/>
    <x v="0"/>
  </r>
  <r>
    <s v="WQ-241"/>
    <d v="2022-05-15T00:00:00"/>
    <x v="9"/>
    <x v="3"/>
    <x v="2"/>
    <x v="19"/>
    <x v="222"/>
    <x v="215"/>
    <x v="169"/>
    <x v="71"/>
    <x v="10"/>
    <x v="1"/>
    <x v="1"/>
    <x v="1"/>
    <x v="1"/>
    <x v="0"/>
  </r>
  <r>
    <s v="WQ-242"/>
    <d v="2022-03-03T00:00:00"/>
    <x v="7"/>
    <x v="2"/>
    <x v="0"/>
    <x v="26"/>
    <x v="223"/>
    <x v="216"/>
    <x v="13"/>
    <x v="26"/>
    <x v="15"/>
    <x v="15"/>
    <x v="1"/>
    <x v="0"/>
    <x v="1"/>
    <x v="0"/>
  </r>
  <r>
    <s v="WQ-243"/>
    <d v="2022-08-21T00:00:00"/>
    <x v="1"/>
    <x v="4"/>
    <x v="2"/>
    <x v="30"/>
    <x v="224"/>
    <x v="24"/>
    <x v="0"/>
    <x v="1"/>
    <x v="1"/>
    <x v="17"/>
    <x v="0"/>
    <x v="1"/>
    <x v="1"/>
    <x v="0"/>
  </r>
  <r>
    <s v="WQ-244"/>
    <d v="2022-08-06T00:00:00"/>
    <x v="1"/>
    <x v="0"/>
    <x v="0"/>
    <x v="29"/>
    <x v="225"/>
    <x v="133"/>
    <x v="47"/>
    <x v="60"/>
    <x v="7"/>
    <x v="11"/>
    <x v="0"/>
    <x v="1"/>
    <x v="0"/>
    <x v="0"/>
  </r>
  <r>
    <s v="WQ-245"/>
    <d v="2022-07-10T00:00:00"/>
    <x v="0"/>
    <x v="2"/>
    <x v="0"/>
    <x v="15"/>
    <x v="226"/>
    <x v="217"/>
    <x v="147"/>
    <x v="25"/>
    <x v="16"/>
    <x v="9"/>
    <x v="1"/>
    <x v="0"/>
    <x v="0"/>
    <x v="0"/>
  </r>
  <r>
    <s v="WQ-246"/>
    <d v="2022-10-04T00:00:00"/>
    <x v="10"/>
    <x v="2"/>
    <x v="1"/>
    <x v="9"/>
    <x v="227"/>
    <x v="16"/>
    <x v="48"/>
    <x v="64"/>
    <x v="18"/>
    <x v="10"/>
    <x v="0"/>
    <x v="0"/>
    <x v="0"/>
    <x v="0"/>
  </r>
  <r>
    <s v="WQ-247"/>
    <d v="2022-09-09T00:00:00"/>
    <x v="11"/>
    <x v="3"/>
    <x v="0"/>
    <x v="0"/>
    <x v="228"/>
    <x v="218"/>
    <x v="147"/>
    <x v="0"/>
    <x v="11"/>
    <x v="2"/>
    <x v="0"/>
    <x v="0"/>
    <x v="1"/>
    <x v="1"/>
  </r>
  <r>
    <s v="WQ-248"/>
    <d v="2022-02-19T00:00:00"/>
    <x v="8"/>
    <x v="2"/>
    <x v="2"/>
    <x v="25"/>
    <x v="229"/>
    <x v="219"/>
    <x v="172"/>
    <x v="75"/>
    <x v="16"/>
    <x v="9"/>
    <x v="1"/>
    <x v="0"/>
    <x v="0"/>
    <x v="0"/>
  </r>
  <r>
    <s v="WQ-249"/>
    <d v="2022-11-07T00:00:00"/>
    <x v="6"/>
    <x v="3"/>
    <x v="2"/>
    <x v="8"/>
    <x v="230"/>
    <x v="220"/>
    <x v="137"/>
    <x v="11"/>
    <x v="8"/>
    <x v="17"/>
    <x v="0"/>
    <x v="0"/>
    <x v="0"/>
    <x v="0"/>
  </r>
  <r>
    <s v="WQ-250"/>
    <d v="2022-09-28T00:00:00"/>
    <x v="11"/>
    <x v="1"/>
    <x v="1"/>
    <x v="27"/>
    <x v="231"/>
    <x v="221"/>
    <x v="173"/>
    <x v="15"/>
    <x v="15"/>
    <x v="25"/>
    <x v="0"/>
    <x v="0"/>
    <x v="1"/>
    <x v="1"/>
  </r>
  <r>
    <s v="WQ-251"/>
    <d v="2022-11-14T00:00:00"/>
    <x v="6"/>
    <x v="2"/>
    <x v="0"/>
    <x v="0"/>
    <x v="232"/>
    <x v="44"/>
    <x v="174"/>
    <x v="51"/>
    <x v="2"/>
    <x v="7"/>
    <x v="0"/>
    <x v="0"/>
    <x v="0"/>
    <x v="0"/>
  </r>
  <r>
    <s v="WQ-252"/>
    <d v="2022-03-21T00:00:00"/>
    <x v="7"/>
    <x v="2"/>
    <x v="0"/>
    <x v="10"/>
    <x v="233"/>
    <x v="97"/>
    <x v="168"/>
    <x v="63"/>
    <x v="19"/>
    <x v="7"/>
    <x v="0"/>
    <x v="0"/>
    <x v="1"/>
    <x v="1"/>
  </r>
  <r>
    <s v="WQ-253"/>
    <d v="2022-02-23T00:00:00"/>
    <x v="8"/>
    <x v="1"/>
    <x v="1"/>
    <x v="0"/>
    <x v="234"/>
    <x v="222"/>
    <x v="175"/>
    <x v="45"/>
    <x v="11"/>
    <x v="21"/>
    <x v="0"/>
    <x v="1"/>
    <x v="1"/>
    <x v="0"/>
  </r>
  <r>
    <s v="WQ-254"/>
    <d v="2022-02-14T00:00:00"/>
    <x v="8"/>
    <x v="1"/>
    <x v="0"/>
    <x v="28"/>
    <x v="235"/>
    <x v="223"/>
    <x v="176"/>
    <x v="36"/>
    <x v="15"/>
    <x v="3"/>
    <x v="0"/>
    <x v="0"/>
    <x v="1"/>
    <x v="1"/>
  </r>
  <r>
    <s v="WQ-255"/>
    <d v="2022-01-13T00:00:00"/>
    <x v="5"/>
    <x v="4"/>
    <x v="2"/>
    <x v="2"/>
    <x v="236"/>
    <x v="224"/>
    <x v="177"/>
    <x v="4"/>
    <x v="9"/>
    <x v="22"/>
    <x v="0"/>
    <x v="0"/>
    <x v="0"/>
    <x v="0"/>
  </r>
  <r>
    <s v="WQ-256"/>
    <d v="2022-02-03T00:00:00"/>
    <x v="8"/>
    <x v="1"/>
    <x v="1"/>
    <x v="26"/>
    <x v="237"/>
    <x v="225"/>
    <x v="131"/>
    <x v="43"/>
    <x v="1"/>
    <x v="16"/>
    <x v="1"/>
    <x v="1"/>
    <x v="1"/>
    <x v="0"/>
  </r>
  <r>
    <s v="WQ-257"/>
    <d v="2022-08-02T00:00:00"/>
    <x v="1"/>
    <x v="2"/>
    <x v="2"/>
    <x v="17"/>
    <x v="238"/>
    <x v="226"/>
    <x v="178"/>
    <x v="29"/>
    <x v="14"/>
    <x v="2"/>
    <x v="0"/>
    <x v="0"/>
    <x v="1"/>
    <x v="1"/>
  </r>
  <r>
    <s v="WQ-258"/>
    <d v="2022-06-25T00:00:00"/>
    <x v="4"/>
    <x v="4"/>
    <x v="2"/>
    <x v="2"/>
    <x v="239"/>
    <x v="227"/>
    <x v="179"/>
    <x v="32"/>
    <x v="15"/>
    <x v="10"/>
    <x v="0"/>
    <x v="0"/>
    <x v="1"/>
    <x v="1"/>
  </r>
  <r>
    <s v="WQ-259"/>
    <d v="2022-01-09T00:00:00"/>
    <x v="5"/>
    <x v="3"/>
    <x v="2"/>
    <x v="26"/>
    <x v="240"/>
    <x v="184"/>
    <x v="180"/>
    <x v="73"/>
    <x v="2"/>
    <x v="19"/>
    <x v="1"/>
    <x v="1"/>
    <x v="0"/>
    <x v="0"/>
  </r>
  <r>
    <s v="WQ-260"/>
    <d v="2022-12-22T00:00:00"/>
    <x v="2"/>
    <x v="2"/>
    <x v="1"/>
    <x v="1"/>
    <x v="241"/>
    <x v="228"/>
    <x v="181"/>
    <x v="67"/>
    <x v="18"/>
    <x v="19"/>
    <x v="1"/>
    <x v="1"/>
    <x v="0"/>
    <x v="0"/>
  </r>
  <r>
    <s v="WQ-261"/>
    <d v="2022-05-03T00:00:00"/>
    <x v="9"/>
    <x v="1"/>
    <x v="2"/>
    <x v="29"/>
    <x v="242"/>
    <x v="110"/>
    <x v="54"/>
    <x v="73"/>
    <x v="9"/>
    <x v="19"/>
    <x v="0"/>
    <x v="1"/>
    <x v="0"/>
    <x v="0"/>
  </r>
  <r>
    <s v="WQ-262"/>
    <d v="2022-06-26T00:00:00"/>
    <x v="4"/>
    <x v="2"/>
    <x v="0"/>
    <x v="7"/>
    <x v="76"/>
    <x v="229"/>
    <x v="27"/>
    <x v="71"/>
    <x v="11"/>
    <x v="9"/>
    <x v="1"/>
    <x v="1"/>
    <x v="1"/>
    <x v="0"/>
  </r>
  <r>
    <s v="WQ-263"/>
    <d v="2022-06-19T00:00:00"/>
    <x v="4"/>
    <x v="2"/>
    <x v="2"/>
    <x v="27"/>
    <x v="243"/>
    <x v="230"/>
    <x v="182"/>
    <x v="21"/>
    <x v="13"/>
    <x v="9"/>
    <x v="0"/>
    <x v="1"/>
    <x v="1"/>
    <x v="0"/>
  </r>
  <r>
    <s v="WQ-264"/>
    <d v="2022-03-06T00:00:00"/>
    <x v="7"/>
    <x v="2"/>
    <x v="2"/>
    <x v="8"/>
    <x v="244"/>
    <x v="231"/>
    <x v="56"/>
    <x v="31"/>
    <x v="11"/>
    <x v="4"/>
    <x v="0"/>
    <x v="0"/>
    <x v="1"/>
    <x v="1"/>
  </r>
  <r>
    <s v="WQ-265"/>
    <d v="2022-03-22T00:00:00"/>
    <x v="7"/>
    <x v="4"/>
    <x v="0"/>
    <x v="9"/>
    <x v="245"/>
    <x v="232"/>
    <x v="183"/>
    <x v="33"/>
    <x v="18"/>
    <x v="15"/>
    <x v="0"/>
    <x v="1"/>
    <x v="0"/>
    <x v="0"/>
  </r>
  <r>
    <s v="WQ-266"/>
    <d v="2022-06-07T00:00:00"/>
    <x v="4"/>
    <x v="1"/>
    <x v="2"/>
    <x v="8"/>
    <x v="246"/>
    <x v="233"/>
    <x v="184"/>
    <x v="32"/>
    <x v="17"/>
    <x v="16"/>
    <x v="0"/>
    <x v="0"/>
    <x v="0"/>
    <x v="0"/>
  </r>
  <r>
    <s v="WQ-267"/>
    <d v="2022-03-27T00:00:00"/>
    <x v="7"/>
    <x v="2"/>
    <x v="2"/>
    <x v="29"/>
    <x v="247"/>
    <x v="234"/>
    <x v="67"/>
    <x v="52"/>
    <x v="15"/>
    <x v="2"/>
    <x v="0"/>
    <x v="0"/>
    <x v="1"/>
    <x v="1"/>
  </r>
  <r>
    <s v="WQ-268"/>
    <d v="2022-09-10T00:00:00"/>
    <x v="11"/>
    <x v="1"/>
    <x v="0"/>
    <x v="16"/>
    <x v="248"/>
    <x v="235"/>
    <x v="18"/>
    <x v="18"/>
    <x v="0"/>
    <x v="10"/>
    <x v="0"/>
    <x v="0"/>
    <x v="0"/>
    <x v="0"/>
  </r>
  <r>
    <s v="WQ-269"/>
    <d v="2022-12-04T00:00:00"/>
    <x v="2"/>
    <x v="2"/>
    <x v="1"/>
    <x v="23"/>
    <x v="249"/>
    <x v="236"/>
    <x v="185"/>
    <x v="22"/>
    <x v="3"/>
    <x v="10"/>
    <x v="1"/>
    <x v="0"/>
    <x v="1"/>
    <x v="0"/>
  </r>
  <r>
    <s v="WQ-270"/>
    <d v="2022-12-23T00:00:00"/>
    <x v="2"/>
    <x v="2"/>
    <x v="1"/>
    <x v="5"/>
    <x v="78"/>
    <x v="237"/>
    <x v="52"/>
    <x v="7"/>
    <x v="10"/>
    <x v="1"/>
    <x v="0"/>
    <x v="0"/>
    <x v="1"/>
    <x v="1"/>
  </r>
  <r>
    <s v="WQ-271"/>
    <d v="2022-06-15T00:00:00"/>
    <x v="4"/>
    <x v="2"/>
    <x v="1"/>
    <x v="6"/>
    <x v="167"/>
    <x v="238"/>
    <x v="77"/>
    <x v="6"/>
    <x v="7"/>
    <x v="1"/>
    <x v="0"/>
    <x v="0"/>
    <x v="0"/>
    <x v="0"/>
  </r>
  <r>
    <s v="WQ-272"/>
    <d v="2022-10-15T00:00:00"/>
    <x v="10"/>
    <x v="2"/>
    <x v="0"/>
    <x v="14"/>
    <x v="250"/>
    <x v="239"/>
    <x v="95"/>
    <x v="76"/>
    <x v="19"/>
    <x v="16"/>
    <x v="0"/>
    <x v="1"/>
    <x v="1"/>
    <x v="0"/>
  </r>
  <r>
    <s v="WQ-273"/>
    <d v="2022-09-11T00:00:00"/>
    <x v="11"/>
    <x v="1"/>
    <x v="2"/>
    <x v="17"/>
    <x v="251"/>
    <x v="240"/>
    <x v="186"/>
    <x v="74"/>
    <x v="13"/>
    <x v="24"/>
    <x v="0"/>
    <x v="1"/>
    <x v="1"/>
    <x v="0"/>
  </r>
  <r>
    <s v="WQ-274"/>
    <d v="2022-11-17T00:00:00"/>
    <x v="6"/>
    <x v="0"/>
    <x v="2"/>
    <x v="10"/>
    <x v="150"/>
    <x v="241"/>
    <x v="187"/>
    <x v="15"/>
    <x v="7"/>
    <x v="16"/>
    <x v="0"/>
    <x v="0"/>
    <x v="0"/>
    <x v="0"/>
  </r>
  <r>
    <s v="WQ-275"/>
    <d v="2022-06-12T00:00:00"/>
    <x v="4"/>
    <x v="1"/>
    <x v="1"/>
    <x v="23"/>
    <x v="252"/>
    <x v="242"/>
    <x v="58"/>
    <x v="55"/>
    <x v="4"/>
    <x v="15"/>
    <x v="1"/>
    <x v="0"/>
    <x v="0"/>
    <x v="0"/>
  </r>
  <r>
    <s v="WQ-276"/>
    <d v="2022-02-10T00:00:00"/>
    <x v="8"/>
    <x v="1"/>
    <x v="0"/>
    <x v="18"/>
    <x v="253"/>
    <x v="207"/>
    <x v="188"/>
    <x v="67"/>
    <x v="6"/>
    <x v="14"/>
    <x v="0"/>
    <x v="1"/>
    <x v="1"/>
    <x v="0"/>
  </r>
  <r>
    <s v="WQ-277"/>
    <d v="2022-11-10T00:00:00"/>
    <x v="6"/>
    <x v="4"/>
    <x v="0"/>
    <x v="3"/>
    <x v="254"/>
    <x v="243"/>
    <x v="43"/>
    <x v="62"/>
    <x v="17"/>
    <x v="6"/>
    <x v="0"/>
    <x v="0"/>
    <x v="0"/>
    <x v="0"/>
  </r>
  <r>
    <s v="WQ-278"/>
    <d v="2022-06-02T00:00:00"/>
    <x v="4"/>
    <x v="3"/>
    <x v="0"/>
    <x v="12"/>
    <x v="255"/>
    <x v="244"/>
    <x v="189"/>
    <x v="43"/>
    <x v="13"/>
    <x v="24"/>
    <x v="0"/>
    <x v="1"/>
    <x v="1"/>
    <x v="0"/>
  </r>
  <r>
    <s v="WQ-279"/>
    <d v="2022-09-25T00:00:00"/>
    <x v="11"/>
    <x v="3"/>
    <x v="1"/>
    <x v="26"/>
    <x v="256"/>
    <x v="5"/>
    <x v="99"/>
    <x v="0"/>
    <x v="11"/>
    <x v="20"/>
    <x v="1"/>
    <x v="0"/>
    <x v="1"/>
    <x v="0"/>
  </r>
  <r>
    <s v="WQ-280"/>
    <d v="2022-07-23T00:00:00"/>
    <x v="0"/>
    <x v="1"/>
    <x v="1"/>
    <x v="13"/>
    <x v="257"/>
    <x v="245"/>
    <x v="190"/>
    <x v="17"/>
    <x v="6"/>
    <x v="20"/>
    <x v="0"/>
    <x v="0"/>
    <x v="1"/>
    <x v="1"/>
  </r>
  <r>
    <s v="WQ-281"/>
    <d v="2022-09-15T00:00:00"/>
    <x v="11"/>
    <x v="4"/>
    <x v="2"/>
    <x v="9"/>
    <x v="258"/>
    <x v="246"/>
    <x v="191"/>
    <x v="54"/>
    <x v="20"/>
    <x v="11"/>
    <x v="0"/>
    <x v="0"/>
    <x v="1"/>
    <x v="1"/>
  </r>
  <r>
    <s v="WQ-282"/>
    <d v="2022-07-26T00:00:00"/>
    <x v="0"/>
    <x v="4"/>
    <x v="1"/>
    <x v="12"/>
    <x v="259"/>
    <x v="247"/>
    <x v="144"/>
    <x v="61"/>
    <x v="11"/>
    <x v="1"/>
    <x v="0"/>
    <x v="1"/>
    <x v="1"/>
    <x v="0"/>
  </r>
  <r>
    <s v="WQ-283"/>
    <d v="2022-04-07T00:00:00"/>
    <x v="3"/>
    <x v="0"/>
    <x v="2"/>
    <x v="0"/>
    <x v="260"/>
    <x v="248"/>
    <x v="114"/>
    <x v="77"/>
    <x v="17"/>
    <x v="16"/>
    <x v="0"/>
    <x v="1"/>
    <x v="0"/>
    <x v="0"/>
  </r>
  <r>
    <s v="WQ-284"/>
    <d v="2022-07-22T00:00:00"/>
    <x v="0"/>
    <x v="1"/>
    <x v="0"/>
    <x v="24"/>
    <x v="111"/>
    <x v="249"/>
    <x v="8"/>
    <x v="11"/>
    <x v="9"/>
    <x v="8"/>
    <x v="1"/>
    <x v="0"/>
    <x v="0"/>
    <x v="0"/>
  </r>
  <r>
    <s v="WQ-285"/>
    <d v="2022-05-18T00:00:00"/>
    <x v="9"/>
    <x v="4"/>
    <x v="0"/>
    <x v="12"/>
    <x v="261"/>
    <x v="250"/>
    <x v="77"/>
    <x v="20"/>
    <x v="1"/>
    <x v="18"/>
    <x v="0"/>
    <x v="0"/>
    <x v="1"/>
    <x v="1"/>
  </r>
  <r>
    <s v="WQ-286"/>
    <d v="2022-03-04T00:00:00"/>
    <x v="7"/>
    <x v="2"/>
    <x v="0"/>
    <x v="20"/>
    <x v="262"/>
    <x v="251"/>
    <x v="192"/>
    <x v="38"/>
    <x v="3"/>
    <x v="22"/>
    <x v="0"/>
    <x v="1"/>
    <x v="1"/>
    <x v="0"/>
  </r>
  <r>
    <s v="WQ-287"/>
    <d v="2022-06-28T00:00:00"/>
    <x v="4"/>
    <x v="2"/>
    <x v="1"/>
    <x v="5"/>
    <x v="263"/>
    <x v="252"/>
    <x v="58"/>
    <x v="57"/>
    <x v="14"/>
    <x v="3"/>
    <x v="0"/>
    <x v="1"/>
    <x v="1"/>
    <x v="0"/>
  </r>
  <r>
    <s v="WQ-288"/>
    <d v="2022-02-24T00:00:00"/>
    <x v="8"/>
    <x v="4"/>
    <x v="0"/>
    <x v="21"/>
    <x v="264"/>
    <x v="253"/>
    <x v="193"/>
    <x v="56"/>
    <x v="4"/>
    <x v="1"/>
    <x v="1"/>
    <x v="1"/>
    <x v="0"/>
    <x v="0"/>
  </r>
  <r>
    <s v="WQ-289"/>
    <d v="2022-09-02T00:00:00"/>
    <x v="11"/>
    <x v="0"/>
    <x v="1"/>
    <x v="3"/>
    <x v="265"/>
    <x v="254"/>
    <x v="133"/>
    <x v="60"/>
    <x v="4"/>
    <x v="17"/>
    <x v="0"/>
    <x v="1"/>
    <x v="0"/>
    <x v="0"/>
  </r>
  <r>
    <s v="WQ-290"/>
    <d v="2022-06-02T00:00:00"/>
    <x v="4"/>
    <x v="0"/>
    <x v="0"/>
    <x v="15"/>
    <x v="266"/>
    <x v="255"/>
    <x v="194"/>
    <x v="71"/>
    <x v="15"/>
    <x v="24"/>
    <x v="1"/>
    <x v="1"/>
    <x v="1"/>
    <x v="0"/>
  </r>
  <r>
    <s v="WQ-291"/>
    <d v="2022-06-09T00:00:00"/>
    <x v="4"/>
    <x v="4"/>
    <x v="2"/>
    <x v="15"/>
    <x v="267"/>
    <x v="256"/>
    <x v="195"/>
    <x v="52"/>
    <x v="11"/>
    <x v="8"/>
    <x v="1"/>
    <x v="0"/>
    <x v="1"/>
    <x v="0"/>
  </r>
  <r>
    <s v="WQ-292"/>
    <d v="2022-10-03T00:00:00"/>
    <x v="10"/>
    <x v="1"/>
    <x v="2"/>
    <x v="15"/>
    <x v="268"/>
    <x v="176"/>
    <x v="196"/>
    <x v="1"/>
    <x v="3"/>
    <x v="0"/>
    <x v="1"/>
    <x v="1"/>
    <x v="1"/>
    <x v="0"/>
  </r>
  <r>
    <s v="WQ-293"/>
    <d v="2022-10-09T00:00:00"/>
    <x v="10"/>
    <x v="0"/>
    <x v="2"/>
    <x v="29"/>
    <x v="269"/>
    <x v="61"/>
    <x v="159"/>
    <x v="48"/>
    <x v="12"/>
    <x v="10"/>
    <x v="0"/>
    <x v="0"/>
    <x v="0"/>
    <x v="0"/>
  </r>
  <r>
    <s v="WQ-294"/>
    <d v="2022-04-01T00:00:00"/>
    <x v="3"/>
    <x v="0"/>
    <x v="0"/>
    <x v="7"/>
    <x v="270"/>
    <x v="163"/>
    <x v="197"/>
    <x v="35"/>
    <x v="12"/>
    <x v="9"/>
    <x v="1"/>
    <x v="0"/>
    <x v="0"/>
    <x v="0"/>
  </r>
  <r>
    <s v="WQ-295"/>
    <d v="2022-04-21T00:00:00"/>
    <x v="3"/>
    <x v="0"/>
    <x v="1"/>
    <x v="23"/>
    <x v="271"/>
    <x v="257"/>
    <x v="108"/>
    <x v="69"/>
    <x v="19"/>
    <x v="9"/>
    <x v="1"/>
    <x v="0"/>
    <x v="1"/>
    <x v="0"/>
  </r>
  <r>
    <s v="WQ-296"/>
    <d v="2022-11-10T00:00:00"/>
    <x v="6"/>
    <x v="0"/>
    <x v="0"/>
    <x v="28"/>
    <x v="272"/>
    <x v="258"/>
    <x v="198"/>
    <x v="53"/>
    <x v="3"/>
    <x v="19"/>
    <x v="0"/>
    <x v="0"/>
    <x v="1"/>
    <x v="1"/>
  </r>
  <r>
    <s v="WQ-297"/>
    <d v="2022-02-20T00:00:00"/>
    <x v="8"/>
    <x v="2"/>
    <x v="0"/>
    <x v="9"/>
    <x v="273"/>
    <x v="259"/>
    <x v="182"/>
    <x v="75"/>
    <x v="20"/>
    <x v="0"/>
    <x v="0"/>
    <x v="0"/>
    <x v="1"/>
    <x v="1"/>
  </r>
  <r>
    <s v="WQ-298"/>
    <d v="2022-01-23T00:00:00"/>
    <x v="5"/>
    <x v="0"/>
    <x v="0"/>
    <x v="0"/>
    <x v="274"/>
    <x v="103"/>
    <x v="89"/>
    <x v="62"/>
    <x v="16"/>
    <x v="24"/>
    <x v="0"/>
    <x v="0"/>
    <x v="0"/>
    <x v="0"/>
  </r>
  <r>
    <s v="WQ-299"/>
    <d v="2022-03-20T00:00:00"/>
    <x v="7"/>
    <x v="3"/>
    <x v="2"/>
    <x v="5"/>
    <x v="275"/>
    <x v="244"/>
    <x v="199"/>
    <x v="78"/>
    <x v="18"/>
    <x v="1"/>
    <x v="0"/>
    <x v="1"/>
    <x v="0"/>
    <x v="0"/>
  </r>
  <r>
    <s v="WQ-300"/>
    <d v="2022-03-27T00:00:00"/>
    <x v="7"/>
    <x v="4"/>
    <x v="0"/>
    <x v="11"/>
    <x v="85"/>
    <x v="260"/>
    <x v="26"/>
    <x v="0"/>
    <x v="6"/>
    <x v="22"/>
    <x v="1"/>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93771B-6195-4AA2-A8E2-9E55F23467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16">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s>
  <rowFields count="1">
    <field x="15"/>
  </rowFields>
  <rowItems count="3">
    <i>
      <x/>
    </i>
    <i>
      <x v="1"/>
    </i>
    <i t="grand">
      <x/>
    </i>
  </rowItems>
  <colItems count="1">
    <i/>
  </colItems>
  <dataFields count="1">
    <dataField name="Count of Overall_Status" fld="15" subtotal="count" showDataAs="percentOfTotal" baseField="14" baseItem="0" numFmtId="10"/>
  </dataFields>
  <formats count="6">
    <format dxfId="89">
      <pivotArea type="all" dataOnly="0" outline="0" fieldPosition="0"/>
    </format>
    <format dxfId="88">
      <pivotArea outline="0" collapsedLevelsAreSubtotals="1" fieldPosition="0"/>
    </format>
    <format dxfId="87">
      <pivotArea field="15" type="button" dataOnly="0" labelOnly="1" outline="0" axis="axisRow" fieldPosition="0"/>
    </format>
    <format dxfId="86">
      <pivotArea dataOnly="0" labelOnly="1" fieldPosition="0">
        <references count="1">
          <reference field="15" count="0"/>
        </references>
      </pivotArea>
    </format>
    <format dxfId="85">
      <pivotArea dataOnly="0" labelOnly="1" grandRow="1" outline="0" fieldPosition="0"/>
    </format>
    <format dxfId="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B6258A-DE51-499F-B1CB-AA51E9C66F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s">
  <location ref="A2:D9" firstHeaderRow="1" firstDataRow="2" firstDataCol="1"/>
  <pivotFields count="16">
    <pivotField showAll="0"/>
    <pivotField numFmtId="14" showAll="0"/>
    <pivotField showAll="0"/>
    <pivotField axis="axisRow" showAll="0">
      <items count="6">
        <item x="2"/>
        <item x="1"/>
        <item x="0"/>
        <item x="4"/>
        <item x="3"/>
        <item t="default"/>
      </items>
    </pivotField>
    <pivotField showAll="0">
      <items count="4">
        <item x="2"/>
        <item x="0"/>
        <item x="1"/>
        <item t="default"/>
      </items>
    </pivotField>
    <pivotField showAll="0">
      <items count="32">
        <item x="25"/>
        <item x="24"/>
        <item x="15"/>
        <item x="23"/>
        <item x="11"/>
        <item x="6"/>
        <item x="14"/>
        <item x="0"/>
        <item x="3"/>
        <item x="2"/>
        <item x="20"/>
        <item x="27"/>
        <item x="10"/>
        <item x="4"/>
        <item x="13"/>
        <item x="5"/>
        <item x="29"/>
        <item x="30"/>
        <item x="8"/>
        <item x="28"/>
        <item x="22"/>
        <item x="12"/>
        <item x="18"/>
        <item x="17"/>
        <item x="9"/>
        <item x="16"/>
        <item x="21"/>
        <item x="19"/>
        <item x="26"/>
        <item x="1"/>
        <item x="7"/>
        <item t="default"/>
      </items>
    </pivotField>
    <pivotField showAll="0">
      <items count="277">
        <item x="17"/>
        <item h="1" x="262"/>
        <item h="1" x="67"/>
        <item h="1" x="259"/>
        <item h="1" x="0"/>
        <item h="1" x="135"/>
        <item h="1" x="52"/>
        <item h="1" x="20"/>
        <item h="1" x="70"/>
        <item h="1" x="256"/>
        <item h="1" x="271"/>
        <item h="1" x="3"/>
        <item h="1" x="25"/>
        <item h="1" x="199"/>
        <item h="1" x="23"/>
        <item h="1" x="251"/>
        <item h="1" x="232"/>
        <item h="1" x="69"/>
        <item h="1" x="123"/>
        <item h="1" x="226"/>
        <item h="1" x="191"/>
        <item h="1" x="1"/>
        <item h="1" x="103"/>
        <item h="1" x="150"/>
        <item h="1" x="13"/>
        <item h="1" x="264"/>
        <item h="1" x="109"/>
        <item h="1" x="99"/>
        <item h="1" x="258"/>
        <item h="1" x="192"/>
        <item h="1" x="86"/>
        <item h="1" x="175"/>
        <item h="1" x="166"/>
        <item h="1" x="100"/>
        <item h="1" x="75"/>
        <item h="1" x="244"/>
        <item h="1" x="268"/>
        <item h="1" x="211"/>
        <item h="1" x="250"/>
        <item h="1" x="141"/>
        <item h="1" x="160"/>
        <item h="1" x="65"/>
        <item h="1" x="19"/>
        <item h="1" x="114"/>
        <item h="1" x="7"/>
        <item h="1" x="110"/>
        <item h="1" x="194"/>
        <item h="1" x="206"/>
        <item h="1" x="154"/>
        <item h="1" x="43"/>
        <item h="1" x="117"/>
        <item h="1" x="60"/>
        <item h="1" x="83"/>
        <item h="1" x="274"/>
        <item h="1" x="242"/>
        <item h="1" x="63"/>
        <item h="1" x="139"/>
        <item h="1" x="215"/>
        <item h="1" x="105"/>
        <item h="1" x="41"/>
        <item h="1" x="224"/>
        <item h="1" x="57"/>
        <item h="1" x="209"/>
        <item h="1" x="37"/>
        <item h="1" x="49"/>
        <item h="1" x="77"/>
        <item h="1" x="90"/>
        <item h="1" x="162"/>
        <item h="1" x="87"/>
        <item h="1" x="197"/>
        <item h="1" x="228"/>
        <item h="1" x="261"/>
        <item h="1" x="76"/>
        <item h="1" x="178"/>
        <item h="1" x="145"/>
        <item h="1" x="247"/>
        <item h="1" x="28"/>
        <item h="1" x="102"/>
        <item h="1" x="267"/>
        <item h="1" x="124"/>
        <item h="1" x="74"/>
        <item h="1" x="131"/>
        <item h="1" x="241"/>
        <item h="1" x="44"/>
        <item h="1" x="11"/>
        <item h="1" x="180"/>
        <item h="1" x="179"/>
        <item h="1" x="273"/>
        <item h="1" x="165"/>
        <item h="1" x="207"/>
        <item h="1" x="229"/>
        <item h="1" x="48"/>
        <item h="1" x="238"/>
        <item h="1" x="212"/>
        <item h="1" x="107"/>
        <item h="1" x="151"/>
        <item h="1" x="260"/>
        <item h="1" x="78"/>
        <item h="1" x="181"/>
        <item h="1" x="10"/>
        <item h="1" x="214"/>
        <item h="1" x="143"/>
        <item h="1" x="177"/>
        <item h="1" x="55"/>
        <item h="1" x="248"/>
        <item h="1" x="39"/>
        <item h="1" x="113"/>
        <item h="1" x="127"/>
        <item h="1" x="106"/>
        <item h="1" x="223"/>
        <item h="1" x="205"/>
        <item h="1" x="149"/>
        <item h="1" x="120"/>
        <item h="1" x="71"/>
        <item h="1" x="272"/>
        <item h="1" x="142"/>
        <item h="1" x="221"/>
        <item h="1" x="31"/>
        <item h="1" x="62"/>
        <item h="1" x="115"/>
        <item h="1" x="216"/>
        <item h="1" x="204"/>
        <item h="1" x="172"/>
        <item h="1" x="174"/>
        <item h="1" x="138"/>
        <item h="1" x="269"/>
        <item h="1" x="254"/>
        <item h="1" x="27"/>
        <item h="1" x="186"/>
        <item h="1" x="189"/>
        <item h="1" x="152"/>
        <item h="1" x="92"/>
        <item h="1" x="97"/>
        <item h="1" x="213"/>
        <item h="1" x="155"/>
        <item h="1" x="231"/>
        <item h="1" x="146"/>
        <item h="1" x="246"/>
        <item h="1" x="61"/>
        <item h="1" x="132"/>
        <item h="1" x="266"/>
        <item h="1" x="18"/>
        <item h="1" x="129"/>
        <item h="1" x="22"/>
        <item h="1" x="237"/>
        <item h="1" x="156"/>
        <item h="1" x="94"/>
        <item h="1" x="182"/>
        <item h="1" x="253"/>
        <item h="1" x="104"/>
        <item h="1" x="148"/>
        <item h="1" x="66"/>
        <item h="1" x="168"/>
        <item h="1" x="54"/>
        <item h="1" x="137"/>
        <item h="1" x="203"/>
        <item h="1" x="219"/>
        <item h="1" x="190"/>
        <item h="1" x="9"/>
        <item h="1" x="53"/>
        <item h="1" x="133"/>
        <item h="1" x="79"/>
        <item h="1" x="140"/>
        <item h="1" x="147"/>
        <item h="1" x="263"/>
        <item h="1" x="255"/>
        <item h="1" x="46"/>
        <item h="1" x="243"/>
        <item h="1" x="32"/>
        <item h="1" x="116"/>
        <item h="1" x="239"/>
        <item h="1" x="196"/>
        <item h="1" x="157"/>
        <item h="1" x="270"/>
        <item h="1" x="257"/>
        <item h="1" x="93"/>
        <item h="1" x="40"/>
        <item h="1" x="210"/>
        <item h="1" x="35"/>
        <item h="1" x="230"/>
        <item h="1" x="235"/>
        <item h="1" x="82"/>
        <item h="1" x="45"/>
        <item h="1" x="159"/>
        <item h="1" x="217"/>
        <item h="1" x="220"/>
        <item h="1" x="184"/>
        <item h="1" x="167"/>
        <item h="1" x="195"/>
        <item h="1" x="112"/>
        <item h="1" x="171"/>
        <item h="1" x="5"/>
        <item h="1" x="30"/>
        <item h="1" x="95"/>
        <item h="1" x="8"/>
        <item h="1" x="201"/>
        <item h="1" x="183"/>
        <item h="1" x="121"/>
        <item h="1" x="225"/>
        <item h="1" x="265"/>
        <item h="1" x="6"/>
        <item h="1" x="176"/>
        <item h="1" x="128"/>
        <item h="1" x="96"/>
        <item h="1" x="208"/>
        <item h="1" x="42"/>
        <item h="1" x="234"/>
        <item h="1" x="14"/>
        <item h="1" x="275"/>
        <item h="1" x="245"/>
        <item h="1" x="58"/>
        <item h="1" x="26"/>
        <item h="1" x="84"/>
        <item h="1" x="21"/>
        <item h="1" x="130"/>
        <item h="1" x="2"/>
        <item h="1" x="218"/>
        <item h="1" x="185"/>
        <item h="1" x="227"/>
        <item h="1" x="169"/>
        <item h="1" x="36"/>
        <item h="1" x="85"/>
        <item h="1" x="198"/>
        <item h="1" x="163"/>
        <item h="1" x="134"/>
        <item h="1" x="126"/>
        <item h="1" x="233"/>
        <item h="1" x="80"/>
        <item h="1" x="47"/>
        <item h="1" x="188"/>
        <item h="1" x="249"/>
        <item h="1" x="64"/>
        <item h="1" x="51"/>
        <item h="1" x="59"/>
        <item h="1" x="187"/>
        <item h="1" x="236"/>
        <item h="1" x="118"/>
        <item h="1" x="153"/>
        <item h="1" x="111"/>
        <item h="1" x="81"/>
        <item h="1" x="240"/>
        <item h="1" x="202"/>
        <item h="1" x="72"/>
        <item h="1" x="108"/>
        <item h="1" x="222"/>
        <item h="1" x="34"/>
        <item h="1" x="33"/>
        <item h="1" x="88"/>
        <item h="1" x="12"/>
        <item h="1" x="173"/>
        <item h="1" x="89"/>
        <item h="1" x="122"/>
        <item h="1" x="98"/>
        <item h="1" x="200"/>
        <item h="1" x="29"/>
        <item h="1" x="50"/>
        <item h="1" x="161"/>
        <item h="1" x="15"/>
        <item h="1" x="68"/>
        <item h="1" x="144"/>
        <item h="1" x="119"/>
        <item h="1" x="56"/>
        <item h="1" x="158"/>
        <item h="1" x="136"/>
        <item h="1" x="24"/>
        <item h="1" x="4"/>
        <item h="1" x="170"/>
        <item h="1" x="38"/>
        <item h="1" x="164"/>
        <item h="1" x="101"/>
        <item h="1" x="125"/>
        <item h="1" x="73"/>
        <item h="1" x="252"/>
        <item h="1" x="91"/>
        <item h="1" x="16"/>
        <item h="1" x="193"/>
        <item t="default"/>
      </items>
    </pivotField>
    <pivotField showAll="0">
      <items count="262">
        <item h="1" x="3"/>
        <item h="1" x="109"/>
        <item h="1" x="144"/>
        <item h="1" x="103"/>
        <item x="165"/>
        <item h="1" x="157"/>
        <item h="1" x="47"/>
        <item h="1" x="104"/>
        <item h="1" x="130"/>
        <item h="1" x="120"/>
        <item h="1" x="250"/>
        <item h="1" x="16"/>
        <item h="1" x="88"/>
        <item h="1" x="27"/>
        <item h="1" x="79"/>
        <item h="1" x="137"/>
        <item h="1" x="236"/>
        <item h="1" x="143"/>
        <item h="1" x="153"/>
        <item h="1" x="178"/>
        <item h="1" x="107"/>
        <item h="1" x="36"/>
        <item h="1" x="173"/>
        <item h="1" x="132"/>
        <item h="1" x="119"/>
        <item h="1" x="23"/>
        <item h="1" x="167"/>
        <item h="1" x="148"/>
        <item h="1" x="195"/>
        <item h="1" x="96"/>
        <item h="1" x="224"/>
        <item h="1" x="92"/>
        <item h="1" x="190"/>
        <item h="1" x="149"/>
        <item h="1" x="146"/>
        <item h="1" x="113"/>
        <item h="1" x="114"/>
        <item h="1" x="241"/>
        <item h="1" x="64"/>
        <item h="1" x="163"/>
        <item h="1" x="7"/>
        <item h="1" x="33"/>
        <item h="1" x="53"/>
        <item h="1" x="21"/>
        <item h="1" x="94"/>
        <item h="1" x="230"/>
        <item h="1" x="2"/>
        <item h="1" x="232"/>
        <item h="1" x="97"/>
        <item h="1" x="83"/>
        <item h="1" x="46"/>
        <item h="1" x="35"/>
        <item h="1" x="150"/>
        <item h="1" x="67"/>
        <item h="1" x="147"/>
        <item h="1" x="257"/>
        <item h="1" x="121"/>
        <item h="1" x="31"/>
        <item h="1" x="18"/>
        <item h="1" x="156"/>
        <item h="1" x="237"/>
        <item h="1" x="255"/>
        <item h="1" x="256"/>
        <item h="1" x="162"/>
        <item h="1" x="123"/>
        <item h="1" x="213"/>
        <item h="1" x="89"/>
        <item h="1" x="217"/>
        <item h="1" x="55"/>
        <item h="1" x="184"/>
        <item h="1" x="253"/>
        <item h="1" x="118"/>
        <item h="1" x="127"/>
        <item h="1" x="209"/>
        <item h="1" x="258"/>
        <item h="1" x="14"/>
        <item h="1" x="102"/>
        <item h="1" x="194"/>
        <item h="1" x="128"/>
        <item h="1" x="182"/>
        <item h="1" x="20"/>
        <item h="1" x="183"/>
        <item h="1" x="204"/>
        <item h="1" x="85"/>
        <item h="1" x="100"/>
        <item h="1" x="52"/>
        <item h="1" x="202"/>
        <item h="1" x="222"/>
        <item h="1" x="254"/>
        <item h="1" x="125"/>
        <item h="1" x="198"/>
        <item h="1" x="206"/>
        <item h="1" x="158"/>
        <item h="1" x="12"/>
        <item h="1" x="225"/>
        <item h="1" x="110"/>
        <item h="1" x="200"/>
        <item h="1" x="13"/>
        <item h="1" x="141"/>
        <item h="1" x="187"/>
        <item h="1" x="189"/>
        <item h="1" x="0"/>
        <item h="1" x="145"/>
        <item h="1" x="30"/>
        <item h="1" x="133"/>
        <item h="1" x="201"/>
        <item h="1" x="219"/>
        <item h="1" x="212"/>
        <item h="1" x="243"/>
        <item h="1" x="65"/>
        <item h="1" x="159"/>
        <item h="1" x="228"/>
        <item h="1" x="181"/>
        <item h="1" x="214"/>
        <item h="1" x="37"/>
        <item h="1" x="105"/>
        <item h="1" x="129"/>
        <item h="1" x="39"/>
        <item h="1" x="174"/>
        <item h="1" x="95"/>
        <item h="1" x="116"/>
        <item h="1" x="215"/>
        <item h="1" x="234"/>
        <item h="1" x="203"/>
        <item h="1" x="80"/>
        <item h="1" x="98"/>
        <item h="1" x="25"/>
        <item h="1" x="17"/>
        <item h="1" x="233"/>
        <item h="1" x="131"/>
        <item h="1" x="171"/>
        <item h="1" x="115"/>
        <item h="1" x="199"/>
        <item h="1" x="135"/>
        <item h="1" x="207"/>
        <item h="1" x="6"/>
        <item h="1" x="8"/>
        <item h="1" x="71"/>
        <item h="1" x="68"/>
        <item h="1" x="223"/>
        <item h="1" x="175"/>
        <item h="1" x="50"/>
        <item h="1" x="62"/>
        <item h="1" x="9"/>
        <item h="1" x="188"/>
        <item h="1" x="142"/>
        <item h="1" x="166"/>
        <item h="1" x="24"/>
        <item h="1" x="246"/>
        <item h="1" x="49"/>
        <item h="1" x="161"/>
        <item h="1" x="29"/>
        <item h="1" x="44"/>
        <item h="1" x="93"/>
        <item h="1" x="240"/>
        <item h="1" x="72"/>
        <item h="1" x="259"/>
        <item h="1" x="231"/>
        <item h="1" x="196"/>
        <item h="1" x="45"/>
        <item h="1" x="176"/>
        <item h="1" x="169"/>
        <item h="1" x="54"/>
        <item h="1" x="84"/>
        <item h="1" x="82"/>
        <item h="1" x="191"/>
        <item h="1" x="63"/>
        <item h="1" x="99"/>
        <item h="1" x="56"/>
        <item h="1" x="81"/>
        <item h="1" x="172"/>
        <item h="1" x="90"/>
        <item h="1" x="216"/>
        <item h="1" x="74"/>
        <item h="1" x="111"/>
        <item h="1" x="41"/>
        <item h="1" x="57"/>
        <item h="1" x="244"/>
        <item h="1" x="218"/>
        <item h="1" x="76"/>
        <item h="1" x="78"/>
        <item h="1" x="43"/>
        <item h="1" x="108"/>
        <item h="1" x="5"/>
        <item h="1" x="221"/>
        <item h="1" x="91"/>
        <item h="1" x="251"/>
        <item h="1" x="11"/>
        <item h="1" x="26"/>
        <item h="1" x="249"/>
        <item h="1" x="4"/>
        <item h="1" x="185"/>
        <item h="1" x="252"/>
        <item h="1" x="164"/>
        <item h="1" x="186"/>
        <item h="1" x="242"/>
        <item h="1" x="177"/>
        <item h="1" x="1"/>
        <item h="1" x="73"/>
        <item h="1" x="210"/>
        <item h="1" x="205"/>
        <item h="1" x="38"/>
        <item h="1" x="28"/>
        <item h="1" x="101"/>
        <item h="1" x="247"/>
        <item h="1" x="192"/>
        <item h="1" x="112"/>
        <item h="1" x="77"/>
        <item h="1" x="155"/>
        <item h="1" x="245"/>
        <item h="1" x="34"/>
        <item h="1" x="154"/>
        <item h="1" x="260"/>
        <item h="1" x="134"/>
        <item h="1" x="197"/>
        <item h="1" x="32"/>
        <item h="1" x="139"/>
        <item h="1" x="239"/>
        <item h="1" x="208"/>
        <item h="1" x="10"/>
        <item h="1" x="170"/>
        <item h="1" x="66"/>
        <item h="1" x="15"/>
        <item h="1" x="42"/>
        <item h="1" x="61"/>
        <item h="1" x="87"/>
        <item h="1" x="86"/>
        <item h="1" x="75"/>
        <item h="1" x="248"/>
        <item h="1" x="160"/>
        <item h="1" x="238"/>
        <item h="1" x="220"/>
        <item h="1" x="138"/>
        <item h="1" x="22"/>
        <item h="1" x="60"/>
        <item h="1" x="227"/>
        <item h="1" x="193"/>
        <item h="1" x="211"/>
        <item h="1" x="117"/>
        <item h="1" x="106"/>
        <item h="1" x="179"/>
        <item h="1" x="69"/>
        <item h="1" x="229"/>
        <item h="1" x="70"/>
        <item h="1" x="51"/>
        <item h="1" x="58"/>
        <item h="1" x="126"/>
        <item h="1" x="151"/>
        <item h="1" x="152"/>
        <item h="1" x="168"/>
        <item h="1" x="59"/>
        <item h="1" x="136"/>
        <item h="1" x="226"/>
        <item h="1" x="180"/>
        <item h="1" x="40"/>
        <item h="1" x="235"/>
        <item h="1" x="48"/>
        <item h="1" x="19"/>
        <item h="1" x="122"/>
        <item h="1" x="140"/>
        <item h="1" x="124"/>
        <item t="default"/>
      </items>
    </pivotField>
    <pivotField showAll="0">
      <items count="201">
        <item x="11"/>
        <item x="171"/>
        <item x="128"/>
        <item x="150"/>
        <item x="124"/>
        <item x="173"/>
        <item x="78"/>
        <item x="65"/>
        <item x="12"/>
        <item x="102"/>
        <item x="57"/>
        <item x="179"/>
        <item x="33"/>
        <item x="45"/>
        <item x="53"/>
        <item x="50"/>
        <item x="116"/>
        <item x="190"/>
        <item x="79"/>
        <item x="142"/>
        <item x="185"/>
        <item x="19"/>
        <item x="110"/>
        <item x="95"/>
        <item x="140"/>
        <item x="174"/>
        <item x="61"/>
        <item x="63"/>
        <item x="60"/>
        <item x="44"/>
        <item x="154"/>
        <item x="41"/>
        <item x="89"/>
        <item x="16"/>
        <item x="127"/>
        <item x="123"/>
        <item x="39"/>
        <item x="47"/>
        <item x="52"/>
        <item x="177"/>
        <item x="139"/>
        <item x="9"/>
        <item x="166"/>
        <item x="160"/>
        <item x="88"/>
        <item x="29"/>
        <item x="76"/>
        <item x="100"/>
        <item x="158"/>
        <item x="87"/>
        <item x="143"/>
        <item x="77"/>
        <item x="42"/>
        <item x="186"/>
        <item x="118"/>
        <item x="121"/>
        <item x="152"/>
        <item x="149"/>
        <item x="3"/>
        <item x="99"/>
        <item x="13"/>
        <item x="112"/>
        <item x="106"/>
        <item x="126"/>
        <item x="54"/>
        <item x="27"/>
        <item x="96"/>
        <item x="134"/>
        <item x="32"/>
        <item x="170"/>
        <item x="122"/>
        <item x="156"/>
        <item x="20"/>
        <item x="30"/>
        <item x="86"/>
        <item x="70"/>
        <item x="125"/>
        <item x="104"/>
        <item x="164"/>
        <item x="6"/>
        <item x="167"/>
        <item x="82"/>
        <item x="34"/>
        <item x="67"/>
        <item x="90"/>
        <item x="197"/>
        <item x="135"/>
        <item x="103"/>
        <item x="38"/>
        <item x="51"/>
        <item x="69"/>
        <item x="1"/>
        <item x="180"/>
        <item x="75"/>
        <item x="195"/>
        <item x="181"/>
        <item x="46"/>
        <item x="176"/>
        <item x="189"/>
        <item x="165"/>
        <item x="92"/>
        <item x="56"/>
        <item x="7"/>
        <item x="8"/>
        <item x="109"/>
        <item x="137"/>
        <item x="155"/>
        <item x="18"/>
        <item x="169"/>
        <item x="80"/>
        <item x="168"/>
        <item x="130"/>
        <item x="129"/>
        <item x="97"/>
        <item x="196"/>
        <item x="183"/>
        <item x="26"/>
        <item x="145"/>
        <item x="10"/>
        <item x="157"/>
        <item x="194"/>
        <item x="101"/>
        <item x="115"/>
        <item x="138"/>
        <item x="62"/>
        <item x="85"/>
        <item x="136"/>
        <item x="2"/>
        <item x="146"/>
        <item x="31"/>
        <item x="49"/>
        <item x="43"/>
        <item x="108"/>
        <item x="107"/>
        <item x="151"/>
        <item x="58"/>
        <item x="187"/>
        <item x="191"/>
        <item x="64"/>
        <item x="94"/>
        <item x="198"/>
        <item x="0"/>
        <item x="73"/>
        <item x="184"/>
        <item x="5"/>
        <item x="193"/>
        <item x="120"/>
        <item x="17"/>
        <item x="175"/>
        <item x="153"/>
        <item x="66"/>
        <item x="192"/>
        <item x="40"/>
        <item x="148"/>
        <item x="37"/>
        <item x="91"/>
        <item x="59"/>
        <item x="98"/>
        <item x="133"/>
        <item x="111"/>
        <item x="119"/>
        <item x="182"/>
        <item x="4"/>
        <item x="162"/>
        <item x="72"/>
        <item x="23"/>
        <item x="21"/>
        <item x="144"/>
        <item x="105"/>
        <item x="22"/>
        <item x="178"/>
        <item x="132"/>
        <item x="199"/>
        <item x="36"/>
        <item x="93"/>
        <item x="14"/>
        <item x="55"/>
        <item x="188"/>
        <item x="15"/>
        <item x="68"/>
        <item x="131"/>
        <item x="48"/>
        <item x="81"/>
        <item x="159"/>
        <item x="84"/>
        <item x="24"/>
        <item x="71"/>
        <item x="25"/>
        <item x="113"/>
        <item x="141"/>
        <item x="172"/>
        <item x="28"/>
        <item x="114"/>
        <item x="163"/>
        <item x="147"/>
        <item x="117"/>
        <item x="161"/>
        <item x="35"/>
        <item x="74"/>
        <item x="83"/>
        <item t="default"/>
      </items>
    </pivotField>
    <pivotField showAll="0">
      <items count="80">
        <item x="34"/>
        <item x="58"/>
        <item x="22"/>
        <item x="7"/>
        <item x="15"/>
        <item x="25"/>
        <item x="50"/>
        <item x="5"/>
        <item x="72"/>
        <item x="49"/>
        <item x="62"/>
        <item x="48"/>
        <item x="36"/>
        <item x="32"/>
        <item x="37"/>
        <item x="44"/>
        <item x="51"/>
        <item x="41"/>
        <item x="27"/>
        <item x="28"/>
        <item x="18"/>
        <item x="0"/>
        <item x="23"/>
        <item x="2"/>
        <item x="64"/>
        <item x="11"/>
        <item x="69"/>
        <item x="46"/>
        <item x="4"/>
        <item x="65"/>
        <item x="52"/>
        <item x="9"/>
        <item x="63"/>
        <item x="26"/>
        <item x="10"/>
        <item x="53"/>
        <item x="55"/>
        <item x="54"/>
        <item x="31"/>
        <item x="35"/>
        <item x="29"/>
        <item x="42"/>
        <item x="66"/>
        <item x="75"/>
        <item x="3"/>
        <item x="6"/>
        <item x="13"/>
        <item x="17"/>
        <item x="20"/>
        <item x="14"/>
        <item x="68"/>
        <item x="71"/>
        <item x="21"/>
        <item x="77"/>
        <item x="19"/>
        <item x="24"/>
        <item x="73"/>
        <item x="1"/>
        <item x="16"/>
        <item x="43"/>
        <item x="8"/>
        <item x="45"/>
        <item x="56"/>
        <item x="76"/>
        <item x="38"/>
        <item x="39"/>
        <item x="12"/>
        <item x="60"/>
        <item x="33"/>
        <item x="78"/>
        <item x="70"/>
        <item x="59"/>
        <item x="61"/>
        <item x="47"/>
        <item x="30"/>
        <item x="40"/>
        <item x="74"/>
        <item x="57"/>
        <item x="67"/>
        <item t="default"/>
      </items>
    </pivotField>
    <pivotField showAll="0">
      <items count="22">
        <item x="5"/>
        <item x="15"/>
        <item x="1"/>
        <item x="11"/>
        <item x="10"/>
        <item x="3"/>
        <item x="20"/>
        <item x="14"/>
        <item x="13"/>
        <item x="6"/>
        <item x="19"/>
        <item x="16"/>
        <item x="9"/>
        <item x="4"/>
        <item x="0"/>
        <item x="18"/>
        <item x="8"/>
        <item x="12"/>
        <item x="2"/>
        <item x="7"/>
        <item x="17"/>
        <item t="default"/>
      </items>
    </pivotField>
    <pivotField showAll="0">
      <items count="27">
        <item x="21"/>
        <item x="20"/>
        <item x="9"/>
        <item x="5"/>
        <item x="15"/>
        <item x="7"/>
        <item x="22"/>
        <item x="23"/>
        <item x="6"/>
        <item x="0"/>
        <item x="16"/>
        <item x="12"/>
        <item x="24"/>
        <item x="3"/>
        <item x="13"/>
        <item x="19"/>
        <item x="1"/>
        <item x="25"/>
        <item x="2"/>
        <item x="17"/>
        <item x="11"/>
        <item x="14"/>
        <item x="18"/>
        <item x="8"/>
        <item x="4"/>
        <item x="10"/>
        <item t="default"/>
      </items>
    </pivotField>
    <pivotField showAll="0"/>
    <pivotField showAll="0"/>
    <pivotField showAll="0"/>
    <pivotField axis="axisCol" dataField="1" showAll="0">
      <items count="3">
        <item x="0"/>
        <item x="1"/>
        <item t="default"/>
      </items>
    </pivotField>
  </pivotFields>
  <rowFields count="1">
    <field x="3"/>
  </rowFields>
  <rowItems count="6">
    <i>
      <x/>
    </i>
    <i>
      <x v="1"/>
    </i>
    <i>
      <x v="2"/>
    </i>
    <i>
      <x v="3"/>
    </i>
    <i>
      <x v="4"/>
    </i>
    <i t="grand">
      <x/>
    </i>
  </rowItems>
  <colFields count="1">
    <field x="15"/>
  </colFields>
  <colItems count="3">
    <i>
      <x/>
    </i>
    <i>
      <x v="1"/>
    </i>
    <i t="grand">
      <x/>
    </i>
  </colItems>
  <dataFields count="1">
    <dataField name="Count of Overall_Status" fld="15" subtotal="count" showDataAs="percentOfRow" baseField="2" baseItem="0" numFmtId="10"/>
  </dataFields>
  <formats count="10">
    <format dxfId="83">
      <pivotArea type="all" dataOnly="0" outline="0" fieldPosition="0"/>
    </format>
    <format dxfId="82">
      <pivotArea outline="0" collapsedLevelsAreSubtotals="1" fieldPosition="0"/>
    </format>
    <format dxfId="81">
      <pivotArea type="origin" dataOnly="0" labelOnly="1" outline="0" fieldPosition="0"/>
    </format>
    <format dxfId="80">
      <pivotArea field="15" type="button" dataOnly="0" labelOnly="1" outline="0" axis="axisCol" fieldPosition="0"/>
    </format>
    <format dxfId="79">
      <pivotArea type="topRight" dataOnly="0" labelOnly="1" outline="0" fieldPosition="0"/>
    </format>
    <format dxfId="78">
      <pivotArea field="3" type="button" dataOnly="0" labelOnly="1" outline="0" axis="axisRow" fieldPosition="0"/>
    </format>
    <format dxfId="77">
      <pivotArea dataOnly="0" labelOnly="1" fieldPosition="0">
        <references count="1">
          <reference field="3" count="0"/>
        </references>
      </pivotArea>
    </format>
    <format dxfId="76">
      <pivotArea dataOnly="0" labelOnly="1" grandRow="1" outline="0" fieldPosition="0"/>
    </format>
    <format dxfId="75">
      <pivotArea dataOnly="0" labelOnly="1" fieldPosition="0">
        <references count="1">
          <reference field="15" count="0"/>
        </references>
      </pivotArea>
    </format>
    <format dxfId="74">
      <pivotArea dataOnly="0" labelOnly="1" grandCol="1" outline="0" fieldPosition="0"/>
    </format>
  </format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4" format="4" series="1">
      <pivotArea type="data" outline="0" fieldPosition="0">
        <references count="2">
          <reference field="4294967294" count="1" selected="0">
            <x v="0"/>
          </reference>
          <reference field="15" count="1" selected="0">
            <x v="0"/>
          </reference>
        </references>
      </pivotArea>
    </chartFormat>
    <chartFormat chart="4"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0F45CE-2E65-4E38-B26A-A0F9FC94C6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7" firstHeaderRow="1" firstDataRow="2" firstDataCol="1"/>
  <pivotFields count="16">
    <pivotField showAll="0"/>
    <pivotField numFmtId="14"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4"/>
  </rowFields>
  <rowItems count="4">
    <i>
      <x/>
    </i>
    <i>
      <x v="1"/>
    </i>
    <i>
      <x v="2"/>
    </i>
    <i t="grand">
      <x/>
    </i>
  </rowItems>
  <colFields count="1">
    <field x="15"/>
  </colFields>
  <colItems count="3">
    <i>
      <x/>
    </i>
    <i>
      <x v="1"/>
    </i>
    <i t="grand">
      <x/>
    </i>
  </colItems>
  <dataFields count="1">
    <dataField name="Count of Overall_Status" fld="15" subtotal="count" showDataAs="percentOfRow" baseField="3" baseItem="0" numFmtId="10"/>
  </dataFields>
  <formats count="10">
    <format dxfId="73">
      <pivotArea type="all" dataOnly="0" outline="0" fieldPosition="0"/>
    </format>
    <format dxfId="72">
      <pivotArea outline="0" collapsedLevelsAreSubtotals="1" fieldPosition="0"/>
    </format>
    <format dxfId="71">
      <pivotArea type="origin" dataOnly="0" labelOnly="1" outline="0" fieldPosition="0"/>
    </format>
    <format dxfId="70">
      <pivotArea field="15" type="button" dataOnly="0" labelOnly="1" outline="0" axis="axisCol" fieldPosition="0"/>
    </format>
    <format dxfId="69">
      <pivotArea type="topRight" dataOnly="0" labelOnly="1" outline="0" fieldPosition="0"/>
    </format>
    <format dxfId="68">
      <pivotArea field="4" type="button" dataOnly="0" labelOnly="1" outline="0" axis="axisRow" fieldPosition="0"/>
    </format>
    <format dxfId="67">
      <pivotArea dataOnly="0" labelOnly="1" fieldPosition="0">
        <references count="1">
          <reference field="4" count="0"/>
        </references>
      </pivotArea>
    </format>
    <format dxfId="66">
      <pivotArea dataOnly="0" labelOnly="1" grandRow="1" outline="0" fieldPosition="0"/>
    </format>
    <format dxfId="65">
      <pivotArea dataOnly="0" labelOnly="1" fieldPosition="0">
        <references count="1">
          <reference field="15" count="0"/>
        </references>
      </pivotArea>
    </format>
    <format dxfId="64">
      <pivotArea dataOnly="0" labelOnly="1" grandCol="1" outline="0" fieldPosition="0"/>
    </format>
  </format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4" format="4" series="1">
      <pivotArea type="data" outline="0" fieldPosition="0">
        <references count="2">
          <reference field="4294967294" count="1" selected="0">
            <x v="0"/>
          </reference>
          <reference field="15" count="1" selected="0">
            <x v="0"/>
          </reference>
        </references>
      </pivotArea>
    </chartFormat>
    <chartFormat chart="4"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B9E95A-ED2E-4CD7-AFC8-F5B2DEA876B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15" firstHeaderRow="1" firstDataRow="1" firstDataCol="1"/>
  <pivotFields count="16">
    <pivotField showAll="0"/>
    <pivotField numFmtId="14" showAll="0"/>
    <pivotField axis="axisRow" showAll="0">
      <items count="13">
        <item x="5"/>
        <item x="8"/>
        <item x="7"/>
        <item x="3"/>
        <item x="9"/>
        <item x="4"/>
        <item x="0"/>
        <item x="1"/>
        <item x="11"/>
        <item x="10"/>
        <item x="6"/>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Average of Nitrate (mg/L)" fld="9" subtotal="average" baseField="2" baseItem="0"/>
  </dataFields>
  <formats count="6">
    <format dxfId="63">
      <pivotArea type="all" dataOnly="0" outline="0" fieldPosition="0"/>
    </format>
    <format dxfId="62">
      <pivotArea outline="0" collapsedLevelsAreSubtotals="1" fieldPosition="0"/>
    </format>
    <format dxfId="61">
      <pivotArea field="2" type="button" dataOnly="0" labelOnly="1" outline="0" axis="axisRow" fieldPosition="0"/>
    </format>
    <format dxfId="60">
      <pivotArea dataOnly="0" labelOnly="1" fieldPosition="0">
        <references count="1">
          <reference field="2" count="0"/>
        </references>
      </pivotArea>
    </format>
    <format dxfId="59">
      <pivotArea dataOnly="0" labelOnly="1" grandRow="1" outline="0" fieldPosition="0"/>
    </format>
    <format dxfId="5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D66AB1-8010-40F2-8724-0FCCA364067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8" firstHeaderRow="1" firstDataRow="1" firstDataCol="1"/>
  <pivotFields count="16">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s>
  <rowFields count="1">
    <field x="14"/>
  </rowFields>
  <rowItems count="3">
    <i>
      <x/>
    </i>
    <i>
      <x v="1"/>
    </i>
    <i t="grand">
      <x/>
    </i>
  </rowItems>
  <colItems count="1">
    <i/>
  </colItems>
  <dataFields count="1">
    <dataField name="Count of Lead_Status" fld="14" subtotal="count" showDataAs="percentOfTotal" baseField="14" baseItem="0" numFmtId="10"/>
  </dataFields>
  <formats count="18">
    <format dxfId="21">
      <pivotArea type="all" dataOnly="0" outline="0" fieldPosition="0"/>
    </format>
    <format dxfId="20">
      <pivotArea outline="0" collapsedLevelsAreSubtotals="1" fieldPosition="0"/>
    </format>
    <format dxfId="19">
      <pivotArea field="14" type="button" dataOnly="0" labelOnly="1" outline="0" axis="axisRow" fieldPosition="0"/>
    </format>
    <format dxfId="18">
      <pivotArea dataOnly="0" labelOnly="1" fieldPosition="0">
        <references count="1">
          <reference field="14" count="0"/>
        </references>
      </pivotArea>
    </format>
    <format dxfId="17">
      <pivotArea dataOnly="0" labelOnly="1" grandRow="1" outline="0"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14" type="button" dataOnly="0" labelOnly="1" outline="0" axis="axisRow" fieldPosition="0"/>
    </format>
    <format dxfId="12">
      <pivotArea dataOnly="0" labelOnly="1" fieldPosition="0">
        <references count="1">
          <reference field="14" count="0"/>
        </references>
      </pivotArea>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4" type="button" dataOnly="0" labelOnly="1" outline="0" axis="axisRow" fieldPosition="0"/>
    </format>
    <format dxfId="6">
      <pivotArea dataOnly="0" labelOnly="1" fieldPosition="0">
        <references count="1">
          <reference field="14" count="0"/>
        </references>
      </pivotArea>
    </format>
    <format dxfId="5">
      <pivotArea dataOnly="0" labelOnly="1" grandRow="1" outline="0"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3C7229-68E3-4ED7-938E-98EC5D55DE5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2" firstHeaderRow="1" firstDataRow="1" firstDataCol="1"/>
  <pivotFields count="16">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s>
  <rowFields count="1">
    <field x="13"/>
  </rowFields>
  <rowItems count="3">
    <i>
      <x/>
    </i>
    <i>
      <x v="1"/>
    </i>
    <i t="grand">
      <x/>
    </i>
  </rowItems>
  <colItems count="1">
    <i/>
  </colItems>
  <dataFields count="1">
    <dataField name="Count of Nitrate_Status" fld="13" subtotal="count" showDataAs="percentOfTotal" baseField="13" baseItem="0" numFmtId="10"/>
  </dataFields>
  <formats count="18">
    <format dxfId="39">
      <pivotArea type="all" dataOnly="0" outline="0" fieldPosition="0"/>
    </format>
    <format dxfId="38">
      <pivotArea outline="0" collapsedLevelsAreSubtotals="1" fieldPosition="0"/>
    </format>
    <format dxfId="37">
      <pivotArea field="13" type="button" dataOnly="0" labelOnly="1" outline="0" axis="axisRow" fieldPosition="0"/>
    </format>
    <format dxfId="36">
      <pivotArea dataOnly="0" labelOnly="1" fieldPosition="0">
        <references count="1">
          <reference field="13"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13" type="button" dataOnly="0" labelOnly="1" outline="0" axis="axisRow" fieldPosition="0"/>
    </format>
    <format dxfId="30">
      <pivotArea dataOnly="0" labelOnly="1" fieldPosition="0">
        <references count="1">
          <reference field="13"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3" type="button" dataOnly="0" labelOnly="1" outline="0" axis="axisRow" fieldPosition="0"/>
    </format>
    <format dxfId="24">
      <pivotArea dataOnly="0" labelOnly="1" fieldPosition="0">
        <references count="1">
          <reference field="13" count="0"/>
        </references>
      </pivotArea>
    </format>
    <format dxfId="23">
      <pivotArea dataOnly="0" labelOnly="1" grandRow="1" outline="0"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0D874F-391B-4865-AE14-FFE1C4728A3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5" firstHeaderRow="1" firstDataRow="1" firstDataCol="1"/>
  <pivotFields count="16">
    <pivotField showAll="0"/>
    <pivotField numFmtId="14"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s>
  <rowFields count="1">
    <field x="12"/>
  </rowFields>
  <rowItems count="3">
    <i>
      <x/>
    </i>
    <i>
      <x v="1"/>
    </i>
    <i t="grand">
      <x/>
    </i>
  </rowItems>
  <colItems count="1">
    <i/>
  </colItems>
  <dataFields count="1">
    <dataField name="Count of pH_Status" fld="12" subtotal="count" showDataAs="percentOfTotal" baseField="12" baseItem="0" numFmtId="10"/>
  </dataFields>
  <formats count="18">
    <format dxfId="57">
      <pivotArea type="all" dataOnly="0" outline="0" fieldPosition="0"/>
    </format>
    <format dxfId="56">
      <pivotArea outline="0" collapsedLevelsAreSubtotals="1" fieldPosition="0"/>
    </format>
    <format dxfId="55">
      <pivotArea field="12" type="button" dataOnly="0" labelOnly="1" outline="0" axis="axisRow" fieldPosition="0"/>
    </format>
    <format dxfId="54">
      <pivotArea dataOnly="0" labelOnly="1" fieldPosition="0">
        <references count="1">
          <reference field="12" count="0"/>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12" type="button" dataOnly="0" labelOnly="1" outline="0" axis="axisRow" fieldPosition="0"/>
    </format>
    <format dxfId="48">
      <pivotArea dataOnly="0" labelOnly="1" fieldPosition="0">
        <references count="1">
          <reference field="12"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12" type="button" dataOnly="0" labelOnly="1" outline="0" axis="axisRow" fieldPosition="0"/>
    </format>
    <format dxfId="42">
      <pivotArea dataOnly="0" labelOnly="1" fieldPosition="0">
        <references count="1">
          <reference field="12" count="0"/>
        </references>
      </pivotArea>
    </format>
    <format dxfId="41">
      <pivotArea dataOnly="0" labelOnly="1" grandRow="1" outline="0"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21B580-71EB-476C-AD66-0A17145318F5}" sourceName="Region">
  <pivotTables>
    <pivotTable tabId="4" name="PivotTable2"/>
  </pivotTables>
  <data>
    <tabular pivotCacheId="1937827067">
      <items count="5">
        <i x="2" s="1"/>
        <i x="1"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_Type" xr10:uid="{0385E434-7680-4899-8260-77A723E7452E}" sourceName="Source_Type">
  <pivotTables>
    <pivotTable tabId="4" name="PivotTable2"/>
  </pivotTables>
  <data>
    <tabular pivotCacheId="193782706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7D86926-E69E-4791-9611-5AB30FD99091}" cache="Slicer_Region" caption="Region" style="SlicerStyleDark2" rowHeight="241300"/>
  <slicer name="Source_Type" xr10:uid="{311F6FD8-739D-4E7C-A048-F2BD052A82AA}" cache="Slicer_Source_Type" caption="Source_Type"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02E55B-EFFE-4B8C-8F32-3A7E0394EC3F}" name="Table1" displayName="Table1" ref="A1:P301" totalsRowShown="0" headerRowDxfId="107" dataDxfId="106">
  <autoFilter ref="A1:P301" xr:uid="{5702E55B-EFFE-4B8C-8F32-3A7E0394EC3F}"/>
  <tableColumns count="16">
    <tableColumn id="1" xr3:uid="{265C55D6-3834-496B-921C-906C66DF7656}" name="Sample_ID" dataDxfId="105"/>
    <tableColumn id="2" xr3:uid="{B559F99D-0FEB-4359-9836-3EB5A6651724}" name="Date" dataDxfId="104"/>
    <tableColumn id="16" xr3:uid="{E99C5687-4578-4148-9459-D8CB555FBF69}" name="Month" dataDxfId="103">
      <calculatedColumnFormula>TEXT(B2,"mmm")</calculatedColumnFormula>
    </tableColumn>
    <tableColumn id="3" xr3:uid="{74D21D4A-FCED-4A74-955E-E79E66349E07}" name="Region" dataDxfId="102"/>
    <tableColumn id="4" xr3:uid="{653E65E3-38C8-40F8-90AC-E6B0CB49FFE2}" name="Source_Type" dataDxfId="101"/>
    <tableColumn id="5" xr3:uid="{FF595C23-8791-44CF-A87D-6752E1880F05}" name="pH" dataDxfId="100"/>
    <tableColumn id="6" xr3:uid="{5DA58157-B1CD-442C-B248-31200EB06957}" name="EC (µS/cm)" dataDxfId="99"/>
    <tableColumn id="7" xr3:uid="{746ABDB7-6E8E-41E9-A16E-60D797F37E03}" name="TDS (mg/L)" dataDxfId="98"/>
    <tableColumn id="8" xr3:uid="{18D8DA0A-629D-4A97-A0CF-88319DDD22AB}" name="Hardness (mg/L)" dataDxfId="97"/>
    <tableColumn id="9" xr3:uid="{7CB1F39D-9C59-4660-9BAB-BE0CA9011229}" name="Nitrate (mg/L)" dataDxfId="96"/>
    <tableColumn id="10" xr3:uid="{28B33EE4-8757-46D0-B944-25BF923623B9}" name="Lead (mg/L)" dataDxfId="95"/>
    <tableColumn id="11" xr3:uid="{084B7B73-0F9B-4A8F-8BD8-A780FB9E2C2D}" name="Temperature (°C)" dataDxfId="94"/>
    <tableColumn id="12" xr3:uid="{63ECBA41-9CCD-4003-8D58-F7C4BD6E5E16}" name="pH_Status" dataDxfId="93">
      <calculatedColumnFormula>IF(OR(F2&lt;6.5,F2&gt;8.5),"Unsafe","Safe")</calculatedColumnFormula>
    </tableColumn>
    <tableColumn id="13" xr3:uid="{5404AE45-31BF-415E-8155-AC1C02562672}" name="Nitrate_Status" dataDxfId="92">
      <calculatedColumnFormula>IF(J2&gt;50,"Unsafe","Safe")</calculatedColumnFormula>
    </tableColumn>
    <tableColumn id="14" xr3:uid="{C25B7605-A815-4BF1-A385-F429CB97F398}" name="Lead_Status" dataDxfId="91">
      <calculatedColumnFormula>IF(K2&gt;0.01,"Unsafe","Safe")</calculatedColumnFormula>
    </tableColumn>
    <tableColumn id="15" xr3:uid="{2B7AE2D0-5B0C-4BA0-9015-D48A9E3C5CF4}" name="Overall_Status" dataDxfId="90">
      <calculatedColumnFormula>IF(OR(M2="Unsafe",N2="Unsafe",O2="Unsafe"),"Contaminated","Safe")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297CA5-58D0-4D2B-8441-A81CE02FC4F9}" name="Table2" displayName="Table2" ref="G2:H5" totalsRowShown="0" headerRowDxfId="3" dataDxfId="2">
  <autoFilter ref="G2:H5" xr:uid="{E3297CA5-58D0-4D2B-8441-A81CE02FC4F9}"/>
  <tableColumns count="2">
    <tableColumn id="1" xr3:uid="{5C82C7E6-247A-4C01-A493-A12240B42CC8}" name="Parameter" dataDxfId="1"/>
    <tableColumn id="2" xr3:uid="{0349950F-3C0D-4229-9DB4-506D7A51DF19}" name="Failu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table" Target="../tables/table2.xm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1971C-9230-460B-A78E-7567B9C82676}">
  <dimension ref="A1:O301"/>
  <sheetViews>
    <sheetView topLeftCell="E1" workbookViewId="0">
      <selection activeCell="Q2" sqref="Q2"/>
    </sheetView>
  </sheetViews>
  <sheetFormatPr defaultRowHeight="14.5" x14ac:dyDescent="0.35"/>
  <cols>
    <col min="1" max="1" width="10.453125" customWidth="1"/>
    <col min="2" max="2" width="13.1796875" customWidth="1"/>
    <col min="3" max="3" width="11.36328125" bestFit="1" customWidth="1"/>
    <col min="4" max="4" width="13.7265625" customWidth="1"/>
    <col min="6" max="6" width="11.54296875" customWidth="1"/>
    <col min="7" max="7" width="11.81640625" customWidth="1"/>
    <col min="8" max="8" width="15.54296875" customWidth="1"/>
    <col min="9" max="9" width="14.54296875" customWidth="1"/>
    <col min="10" max="10" width="14.7265625" customWidth="1"/>
    <col min="11" max="11" width="15.26953125" bestFit="1" customWidth="1"/>
    <col min="12" max="12" width="10.90625" customWidth="1"/>
    <col min="13" max="13" width="16.26953125" customWidth="1"/>
    <col min="14" max="14" width="12.90625" customWidth="1"/>
    <col min="15" max="15" width="14.1796875" customWidth="1"/>
  </cols>
  <sheetData>
    <row r="1" spans="1:15" x14ac:dyDescent="0.35">
      <c r="A1" t="s">
        <v>0</v>
      </c>
      <c r="B1" t="s">
        <v>1</v>
      </c>
      <c r="C1" t="s">
        <v>2</v>
      </c>
      <c r="D1" t="s">
        <v>3</v>
      </c>
      <c r="E1" t="s">
        <v>4</v>
      </c>
      <c r="F1" t="s">
        <v>5</v>
      </c>
      <c r="G1" t="s">
        <v>6</v>
      </c>
      <c r="H1" t="s">
        <v>7</v>
      </c>
      <c r="I1" t="s">
        <v>8</v>
      </c>
      <c r="J1" t="s">
        <v>9</v>
      </c>
      <c r="K1" t="s">
        <v>10</v>
      </c>
      <c r="L1" t="s">
        <v>319</v>
      </c>
      <c r="M1" t="s">
        <v>320</v>
      </c>
      <c r="N1" t="s">
        <v>321</v>
      </c>
      <c r="O1" t="s">
        <v>322</v>
      </c>
    </row>
    <row r="2" spans="1:15" x14ac:dyDescent="0.35">
      <c r="A2" t="s">
        <v>11</v>
      </c>
      <c r="B2" s="1">
        <v>44766</v>
      </c>
      <c r="C2" t="s">
        <v>313</v>
      </c>
      <c r="D2" t="s">
        <v>312</v>
      </c>
      <c r="E2">
        <v>6.7</v>
      </c>
      <c r="F2">
        <v>216</v>
      </c>
      <c r="G2">
        <v>541</v>
      </c>
      <c r="H2">
        <v>292</v>
      </c>
      <c r="I2">
        <v>21</v>
      </c>
      <c r="J2">
        <v>1.4E-2</v>
      </c>
      <c r="K2">
        <v>19</v>
      </c>
      <c r="L2" t="str">
        <f>IF(OR(E2&lt;6.5,E2&gt;8.5),"Unsafe","Safe")</f>
        <v>Safe</v>
      </c>
      <c r="M2" t="str">
        <f>IF(I2&gt;50,"Unsafe","Safe")</f>
        <v>Safe</v>
      </c>
      <c r="N2" t="str">
        <f>IF(J2&gt;0.01,"Unsafe","Safe")</f>
        <v>Unsafe</v>
      </c>
      <c r="O2" t="str">
        <f>IF(OR(L2="Unsafe",M2="Unsafe",N2="Unsafe"),"Contaminated","Safe")</f>
        <v>Contaminated</v>
      </c>
    </row>
    <row r="3" spans="1:15" x14ac:dyDescent="0.35">
      <c r="A3" t="s">
        <v>12</v>
      </c>
      <c r="B3" s="1">
        <v>44775</v>
      </c>
      <c r="C3" t="s">
        <v>316</v>
      </c>
      <c r="D3" t="s">
        <v>318</v>
      </c>
      <c r="E3">
        <v>8.9</v>
      </c>
      <c r="F3">
        <v>309</v>
      </c>
      <c r="G3">
        <v>928</v>
      </c>
      <c r="H3">
        <v>216</v>
      </c>
      <c r="I3">
        <v>59</v>
      </c>
      <c r="J3">
        <v>2E-3</v>
      </c>
      <c r="K3">
        <v>26</v>
      </c>
      <c r="L3" t="str">
        <f t="shared" ref="L3:L66" si="0">IF(OR(E3&lt;6.5,E3&gt;8.5),"Unsafe","Safe")</f>
        <v>Unsafe</v>
      </c>
      <c r="M3" t="str">
        <f t="shared" ref="M3:M66" si="1">IF(I3&gt;50,"Unsafe","Safe")</f>
        <v>Unsafe</v>
      </c>
      <c r="N3" t="str">
        <f t="shared" ref="N3:N66" si="2">IF(J3&gt;0.01,"Unsafe","Safe")</f>
        <v>Safe</v>
      </c>
      <c r="O3" t="str">
        <f t="shared" ref="O3:O66" si="3">IF(OR(L3="Unsafe",M3="Unsafe",N3="Unsafe"),"Contaminated","Safe")</f>
        <v>Contaminated</v>
      </c>
    </row>
    <row r="4" spans="1:15" x14ac:dyDescent="0.35">
      <c r="A4" t="s">
        <v>13</v>
      </c>
      <c r="B4" s="1">
        <v>44910</v>
      </c>
      <c r="C4" t="s">
        <v>314</v>
      </c>
      <c r="D4" t="s">
        <v>318</v>
      </c>
      <c r="E4">
        <v>6.9</v>
      </c>
      <c r="F4">
        <v>1473</v>
      </c>
      <c r="G4">
        <v>274</v>
      </c>
      <c r="H4">
        <v>270</v>
      </c>
      <c r="I4">
        <v>23</v>
      </c>
      <c r="J4">
        <v>1.7999999999999999E-2</v>
      </c>
      <c r="K4">
        <v>28</v>
      </c>
      <c r="L4" t="str">
        <f t="shared" si="0"/>
        <v>Safe</v>
      </c>
      <c r="M4" t="str">
        <f t="shared" si="1"/>
        <v>Safe</v>
      </c>
      <c r="N4" t="str">
        <f t="shared" si="2"/>
        <v>Unsafe</v>
      </c>
      <c r="O4" t="str">
        <f t="shared" si="3"/>
        <v>Contaminated</v>
      </c>
    </row>
    <row r="5" spans="1:15" x14ac:dyDescent="0.35">
      <c r="A5" t="s">
        <v>14</v>
      </c>
      <c r="B5" s="1">
        <v>44672</v>
      </c>
      <c r="C5" t="s">
        <v>311</v>
      </c>
      <c r="D5" t="s">
        <v>312</v>
      </c>
      <c r="E5">
        <v>6.8</v>
      </c>
      <c r="F5">
        <v>266</v>
      </c>
      <c r="G5">
        <v>103</v>
      </c>
      <c r="H5">
        <v>152</v>
      </c>
      <c r="I5">
        <v>45</v>
      </c>
      <c r="J5">
        <v>5.0000000000000001E-3</v>
      </c>
      <c r="K5">
        <v>23</v>
      </c>
      <c r="L5" t="str">
        <f t="shared" si="0"/>
        <v>Safe</v>
      </c>
      <c r="M5" t="str">
        <f t="shared" si="1"/>
        <v>Safe</v>
      </c>
      <c r="N5" t="str">
        <f t="shared" si="2"/>
        <v>Safe</v>
      </c>
      <c r="O5" t="str">
        <f t="shared" si="3"/>
        <v>Safe</v>
      </c>
    </row>
    <row r="6" spans="1:15" x14ac:dyDescent="0.35">
      <c r="A6" t="s">
        <v>15</v>
      </c>
      <c r="B6" s="1">
        <v>44713</v>
      </c>
      <c r="C6" t="s">
        <v>313</v>
      </c>
      <c r="D6" t="s">
        <v>315</v>
      </c>
      <c r="E6">
        <v>7.3</v>
      </c>
      <c r="F6">
        <v>1753</v>
      </c>
      <c r="G6">
        <v>917</v>
      </c>
      <c r="H6">
        <v>329</v>
      </c>
      <c r="I6">
        <v>28</v>
      </c>
      <c r="J6">
        <v>1.2999999999999999E-2</v>
      </c>
      <c r="K6">
        <v>26</v>
      </c>
      <c r="L6" t="str">
        <f t="shared" si="0"/>
        <v>Safe</v>
      </c>
      <c r="M6" t="str">
        <f t="shared" si="1"/>
        <v>Safe</v>
      </c>
      <c r="N6" t="str">
        <f t="shared" si="2"/>
        <v>Unsafe</v>
      </c>
      <c r="O6" t="str">
        <f t="shared" si="3"/>
        <v>Contaminated</v>
      </c>
    </row>
    <row r="7" spans="1:15" x14ac:dyDescent="0.35">
      <c r="A7" t="s">
        <v>16</v>
      </c>
      <c r="B7" s="1">
        <v>44589</v>
      </c>
      <c r="C7" t="s">
        <v>311</v>
      </c>
      <c r="D7" t="s">
        <v>315</v>
      </c>
      <c r="E7">
        <v>6.9</v>
      </c>
      <c r="F7">
        <v>1286</v>
      </c>
      <c r="G7">
        <v>875</v>
      </c>
      <c r="H7">
        <v>299</v>
      </c>
      <c r="I7">
        <v>7</v>
      </c>
      <c r="J7">
        <v>0</v>
      </c>
      <c r="K7">
        <v>34</v>
      </c>
      <c r="L7" t="str">
        <f t="shared" si="0"/>
        <v>Safe</v>
      </c>
      <c r="M7" t="str">
        <f t="shared" si="1"/>
        <v>Safe</v>
      </c>
      <c r="N7" t="str">
        <f t="shared" si="2"/>
        <v>Safe</v>
      </c>
      <c r="O7" t="str">
        <f t="shared" si="3"/>
        <v>Safe</v>
      </c>
    </row>
    <row r="8" spans="1:15" x14ac:dyDescent="0.35">
      <c r="A8" t="s">
        <v>17</v>
      </c>
      <c r="B8" s="1">
        <v>44653</v>
      </c>
      <c r="C8" t="s">
        <v>316</v>
      </c>
      <c r="D8" t="s">
        <v>312</v>
      </c>
      <c r="E8">
        <v>7.5</v>
      </c>
      <c r="F8">
        <v>1348</v>
      </c>
      <c r="G8">
        <v>680</v>
      </c>
      <c r="H8">
        <v>194</v>
      </c>
      <c r="I8">
        <v>46</v>
      </c>
      <c r="J8">
        <v>1.2999999999999999E-2</v>
      </c>
      <c r="K8">
        <v>13</v>
      </c>
      <c r="L8" t="str">
        <f t="shared" si="0"/>
        <v>Safe</v>
      </c>
      <c r="M8" t="str">
        <f t="shared" si="1"/>
        <v>Safe</v>
      </c>
      <c r="N8" t="str">
        <f t="shared" si="2"/>
        <v>Unsafe</v>
      </c>
      <c r="O8" t="str">
        <f t="shared" si="3"/>
        <v>Contaminated</v>
      </c>
    </row>
    <row r="9" spans="1:15" x14ac:dyDescent="0.35">
      <c r="A9" t="s">
        <v>18</v>
      </c>
      <c r="B9" s="1">
        <v>44887</v>
      </c>
      <c r="C9" t="s">
        <v>311</v>
      </c>
      <c r="D9" t="s">
        <v>315</v>
      </c>
      <c r="E9">
        <v>6.5</v>
      </c>
      <c r="F9">
        <v>456</v>
      </c>
      <c r="G9">
        <v>257</v>
      </c>
      <c r="H9">
        <v>232</v>
      </c>
      <c r="I9">
        <v>3</v>
      </c>
      <c r="J9">
        <v>8.9999999999999993E-3</v>
      </c>
      <c r="K9">
        <v>18</v>
      </c>
      <c r="L9" t="str">
        <f t="shared" si="0"/>
        <v>Safe</v>
      </c>
      <c r="M9" t="str">
        <f t="shared" si="1"/>
        <v>Safe</v>
      </c>
      <c r="N9" t="str">
        <f t="shared" si="2"/>
        <v>Safe</v>
      </c>
      <c r="O9" t="str">
        <f t="shared" si="3"/>
        <v>Safe</v>
      </c>
    </row>
    <row r="10" spans="1:15" x14ac:dyDescent="0.35">
      <c r="A10" t="s">
        <v>19</v>
      </c>
      <c r="B10" s="1">
        <v>44625</v>
      </c>
      <c r="C10" t="s">
        <v>314</v>
      </c>
      <c r="D10" t="s">
        <v>318</v>
      </c>
      <c r="E10">
        <v>9</v>
      </c>
      <c r="F10">
        <v>1305</v>
      </c>
      <c r="G10">
        <v>683</v>
      </c>
      <c r="H10">
        <v>233</v>
      </c>
      <c r="I10">
        <v>62</v>
      </c>
      <c r="J10">
        <v>1.9E-2</v>
      </c>
      <c r="K10">
        <v>28</v>
      </c>
      <c r="L10" t="str">
        <f t="shared" si="0"/>
        <v>Unsafe</v>
      </c>
      <c r="M10" t="str">
        <f t="shared" si="1"/>
        <v>Unsafe</v>
      </c>
      <c r="N10" t="str">
        <f t="shared" si="2"/>
        <v>Unsafe</v>
      </c>
      <c r="O10" t="str">
        <f t="shared" si="3"/>
        <v>Contaminated</v>
      </c>
    </row>
    <row r="11" spans="1:15" x14ac:dyDescent="0.35">
      <c r="A11" t="s">
        <v>20</v>
      </c>
      <c r="B11" s="1">
        <v>44782</v>
      </c>
      <c r="C11" t="s">
        <v>317</v>
      </c>
      <c r="D11" t="s">
        <v>315</v>
      </c>
      <c r="E11">
        <v>7.8</v>
      </c>
      <c r="F11">
        <v>1082</v>
      </c>
      <c r="G11">
        <v>723</v>
      </c>
      <c r="H11">
        <v>120</v>
      </c>
      <c r="I11">
        <v>31</v>
      </c>
      <c r="J11">
        <v>1.6E-2</v>
      </c>
      <c r="K11">
        <v>15</v>
      </c>
      <c r="L11" t="str">
        <f t="shared" si="0"/>
        <v>Safe</v>
      </c>
      <c r="M11" t="str">
        <f t="shared" si="1"/>
        <v>Safe</v>
      </c>
      <c r="N11" t="str">
        <f t="shared" si="2"/>
        <v>Unsafe</v>
      </c>
      <c r="O11" t="str">
        <f t="shared" si="3"/>
        <v>Contaminated</v>
      </c>
    </row>
    <row r="12" spans="1:15" x14ac:dyDescent="0.35">
      <c r="A12" t="s">
        <v>21</v>
      </c>
      <c r="B12" s="1">
        <v>44869</v>
      </c>
      <c r="C12" t="s">
        <v>317</v>
      </c>
      <c r="D12" t="s">
        <v>312</v>
      </c>
      <c r="E12">
        <v>8.4</v>
      </c>
      <c r="F12">
        <v>786</v>
      </c>
      <c r="G12">
        <v>1022</v>
      </c>
      <c r="H12">
        <v>255</v>
      </c>
      <c r="I12">
        <v>34</v>
      </c>
      <c r="J12">
        <v>5.0000000000000001E-3</v>
      </c>
      <c r="K12">
        <v>33</v>
      </c>
      <c r="L12" t="str">
        <f t="shared" si="0"/>
        <v>Safe</v>
      </c>
      <c r="M12" t="str">
        <f t="shared" si="1"/>
        <v>Safe</v>
      </c>
      <c r="N12" t="str">
        <f t="shared" si="2"/>
        <v>Safe</v>
      </c>
      <c r="O12" t="str">
        <f t="shared" si="3"/>
        <v>Safe</v>
      </c>
    </row>
    <row r="13" spans="1:15" x14ac:dyDescent="0.35">
      <c r="A13" t="s">
        <v>22</v>
      </c>
      <c r="B13" s="1">
        <v>44618</v>
      </c>
      <c r="C13" t="s">
        <v>313</v>
      </c>
      <c r="D13" t="s">
        <v>315</v>
      </c>
      <c r="E13">
        <v>6.9</v>
      </c>
      <c r="F13">
        <v>695</v>
      </c>
      <c r="G13">
        <v>905</v>
      </c>
      <c r="H13">
        <v>60</v>
      </c>
      <c r="I13">
        <v>25</v>
      </c>
      <c r="J13">
        <v>1.2999999999999999E-2</v>
      </c>
      <c r="K13">
        <v>12</v>
      </c>
      <c r="L13" t="str">
        <f t="shared" si="0"/>
        <v>Safe</v>
      </c>
      <c r="M13" t="str">
        <f t="shared" si="1"/>
        <v>Safe</v>
      </c>
      <c r="N13" t="str">
        <f t="shared" si="2"/>
        <v>Unsafe</v>
      </c>
      <c r="O13" t="str">
        <f t="shared" si="3"/>
        <v>Contaminated</v>
      </c>
    </row>
    <row r="14" spans="1:15" x14ac:dyDescent="0.35">
      <c r="A14" t="s">
        <v>23</v>
      </c>
      <c r="B14" s="1">
        <v>44686</v>
      </c>
      <c r="C14" t="s">
        <v>313</v>
      </c>
      <c r="D14" t="s">
        <v>315</v>
      </c>
      <c r="E14">
        <v>7.2</v>
      </c>
      <c r="F14">
        <v>216</v>
      </c>
      <c r="G14">
        <v>516</v>
      </c>
      <c r="H14">
        <v>72</v>
      </c>
      <c r="I14">
        <v>25</v>
      </c>
      <c r="J14">
        <v>1.2E-2</v>
      </c>
      <c r="K14">
        <v>35</v>
      </c>
      <c r="L14" t="str">
        <f t="shared" si="0"/>
        <v>Safe</v>
      </c>
      <c r="M14" t="str">
        <f t="shared" si="1"/>
        <v>Safe</v>
      </c>
      <c r="N14" t="str">
        <f t="shared" si="2"/>
        <v>Unsafe</v>
      </c>
      <c r="O14" t="str">
        <f t="shared" si="3"/>
        <v>Contaminated</v>
      </c>
    </row>
    <row r="15" spans="1:15" x14ac:dyDescent="0.35">
      <c r="A15" t="s">
        <v>24</v>
      </c>
      <c r="B15" s="1">
        <v>44693</v>
      </c>
      <c r="C15" t="s">
        <v>311</v>
      </c>
      <c r="D15" t="s">
        <v>315</v>
      </c>
      <c r="E15">
        <v>6.9</v>
      </c>
      <c r="F15">
        <v>1657</v>
      </c>
      <c r="G15">
        <v>536</v>
      </c>
      <c r="H15">
        <v>159</v>
      </c>
      <c r="I15">
        <v>68</v>
      </c>
      <c r="J15">
        <v>4.0000000000000001E-3</v>
      </c>
      <c r="K15">
        <v>30</v>
      </c>
      <c r="L15" t="str">
        <f t="shared" si="0"/>
        <v>Safe</v>
      </c>
      <c r="M15" t="str">
        <f t="shared" si="1"/>
        <v>Unsafe</v>
      </c>
      <c r="N15" t="str">
        <f t="shared" si="2"/>
        <v>Safe</v>
      </c>
      <c r="O15" t="str">
        <f t="shared" si="3"/>
        <v>Contaminated</v>
      </c>
    </row>
    <row r="16" spans="1:15" x14ac:dyDescent="0.35">
      <c r="A16" t="s">
        <v>25</v>
      </c>
      <c r="B16" s="1">
        <v>44911</v>
      </c>
      <c r="C16" t="s">
        <v>313</v>
      </c>
      <c r="D16" t="s">
        <v>315</v>
      </c>
      <c r="E16">
        <v>6.8</v>
      </c>
      <c r="F16">
        <v>325</v>
      </c>
      <c r="G16">
        <v>441</v>
      </c>
      <c r="H16">
        <v>344</v>
      </c>
      <c r="I16">
        <v>47</v>
      </c>
      <c r="J16">
        <v>1.7999999999999999E-2</v>
      </c>
      <c r="K16">
        <v>21</v>
      </c>
      <c r="L16" t="str">
        <f t="shared" si="0"/>
        <v>Safe</v>
      </c>
      <c r="M16" t="str">
        <f t="shared" si="1"/>
        <v>Safe</v>
      </c>
      <c r="N16" t="str">
        <f t="shared" si="2"/>
        <v>Unsafe</v>
      </c>
      <c r="O16" t="str">
        <f t="shared" si="3"/>
        <v>Contaminated</v>
      </c>
    </row>
    <row r="17" spans="1:15" x14ac:dyDescent="0.35">
      <c r="A17" t="s">
        <v>26</v>
      </c>
      <c r="B17" s="1">
        <v>44691</v>
      </c>
      <c r="C17" t="s">
        <v>313</v>
      </c>
      <c r="D17" t="s">
        <v>312</v>
      </c>
      <c r="E17">
        <v>6.8</v>
      </c>
      <c r="F17">
        <v>1427</v>
      </c>
      <c r="G17">
        <v>1027</v>
      </c>
      <c r="H17">
        <v>355</v>
      </c>
      <c r="I17">
        <v>25</v>
      </c>
      <c r="J17">
        <v>3.0000000000000001E-3</v>
      </c>
      <c r="K17">
        <v>24</v>
      </c>
      <c r="L17" t="str">
        <f t="shared" si="0"/>
        <v>Safe</v>
      </c>
      <c r="M17" t="str">
        <f t="shared" si="1"/>
        <v>Safe</v>
      </c>
      <c r="N17" t="str">
        <f t="shared" si="2"/>
        <v>Safe</v>
      </c>
      <c r="O17" t="str">
        <f t="shared" si="3"/>
        <v>Safe</v>
      </c>
    </row>
    <row r="18" spans="1:15" x14ac:dyDescent="0.35">
      <c r="A18" t="s">
        <v>27</v>
      </c>
      <c r="B18" s="1">
        <v>44636</v>
      </c>
      <c r="C18" t="s">
        <v>314</v>
      </c>
      <c r="D18" t="s">
        <v>312</v>
      </c>
      <c r="E18">
        <v>6.4</v>
      </c>
      <c r="F18">
        <v>1698</v>
      </c>
      <c r="G18">
        <v>144</v>
      </c>
      <c r="H18">
        <v>109</v>
      </c>
      <c r="I18">
        <v>51</v>
      </c>
      <c r="J18">
        <v>1.2E-2</v>
      </c>
      <c r="K18">
        <v>31</v>
      </c>
      <c r="L18" t="str">
        <f t="shared" si="0"/>
        <v>Unsafe</v>
      </c>
      <c r="M18" t="str">
        <f t="shared" si="1"/>
        <v>Unsafe</v>
      </c>
      <c r="N18" t="str">
        <f t="shared" si="2"/>
        <v>Unsafe</v>
      </c>
      <c r="O18" t="str">
        <f t="shared" si="3"/>
        <v>Contaminated</v>
      </c>
    </row>
    <row r="19" spans="1:15" x14ac:dyDescent="0.35">
      <c r="A19" t="s">
        <v>28</v>
      </c>
      <c r="B19" s="1">
        <v>44676</v>
      </c>
      <c r="C19" t="s">
        <v>311</v>
      </c>
      <c r="D19" t="s">
        <v>318</v>
      </c>
      <c r="E19">
        <v>7.5</v>
      </c>
      <c r="F19">
        <v>1794</v>
      </c>
      <c r="G19">
        <v>648</v>
      </c>
      <c r="H19">
        <v>306</v>
      </c>
      <c r="I19">
        <v>4</v>
      </c>
      <c r="J19">
        <v>0</v>
      </c>
      <c r="K19">
        <v>33</v>
      </c>
      <c r="L19" t="str">
        <f t="shared" si="0"/>
        <v>Safe</v>
      </c>
      <c r="M19" t="str">
        <f t="shared" si="1"/>
        <v>Safe</v>
      </c>
      <c r="N19" t="str">
        <f t="shared" si="2"/>
        <v>Safe</v>
      </c>
      <c r="O19" t="str">
        <f t="shared" si="3"/>
        <v>Safe</v>
      </c>
    </row>
    <row r="20" spans="1:15" x14ac:dyDescent="0.35">
      <c r="A20" t="s">
        <v>29</v>
      </c>
      <c r="B20" s="1">
        <v>44685</v>
      </c>
      <c r="C20" t="s">
        <v>311</v>
      </c>
      <c r="D20" t="s">
        <v>318</v>
      </c>
      <c r="E20">
        <v>8.1</v>
      </c>
      <c r="F20">
        <v>208</v>
      </c>
      <c r="G20">
        <v>351</v>
      </c>
      <c r="H20">
        <v>239</v>
      </c>
      <c r="I20">
        <v>60</v>
      </c>
      <c r="J20">
        <v>3.0000000000000001E-3</v>
      </c>
      <c r="K20">
        <v>19</v>
      </c>
      <c r="L20" t="str">
        <f t="shared" si="0"/>
        <v>Safe</v>
      </c>
      <c r="M20" t="str">
        <f t="shared" si="1"/>
        <v>Unsafe</v>
      </c>
      <c r="N20" t="str">
        <f t="shared" si="2"/>
        <v>Safe</v>
      </c>
      <c r="O20" t="str">
        <f t="shared" si="3"/>
        <v>Contaminated</v>
      </c>
    </row>
    <row r="21" spans="1:15" x14ac:dyDescent="0.35">
      <c r="A21" t="s">
        <v>30</v>
      </c>
      <c r="B21" s="1">
        <v>44851</v>
      </c>
      <c r="C21" t="s">
        <v>313</v>
      </c>
      <c r="D21" t="s">
        <v>312</v>
      </c>
      <c r="E21">
        <v>7.4</v>
      </c>
      <c r="F21">
        <v>1000</v>
      </c>
      <c r="G21">
        <v>1188</v>
      </c>
      <c r="H21">
        <v>90</v>
      </c>
      <c r="I21">
        <v>49</v>
      </c>
      <c r="J21">
        <v>1.6E-2</v>
      </c>
      <c r="K21">
        <v>24</v>
      </c>
      <c r="L21" t="str">
        <f t="shared" si="0"/>
        <v>Safe</v>
      </c>
      <c r="M21" t="str">
        <f t="shared" si="1"/>
        <v>Safe</v>
      </c>
      <c r="N21" t="str">
        <f t="shared" si="2"/>
        <v>Unsafe</v>
      </c>
      <c r="O21" t="str">
        <f t="shared" si="3"/>
        <v>Contaminated</v>
      </c>
    </row>
    <row r="22" spans="1:15" x14ac:dyDescent="0.35">
      <c r="A22" t="s">
        <v>31</v>
      </c>
      <c r="B22" s="1">
        <v>44756</v>
      </c>
      <c r="C22" t="s">
        <v>316</v>
      </c>
      <c r="D22" t="s">
        <v>315</v>
      </c>
      <c r="E22">
        <v>6.4</v>
      </c>
      <c r="F22">
        <v>452</v>
      </c>
      <c r="G22">
        <v>459</v>
      </c>
      <c r="H22">
        <v>183</v>
      </c>
      <c r="I22">
        <v>20</v>
      </c>
      <c r="J22">
        <v>0</v>
      </c>
      <c r="K22">
        <v>28</v>
      </c>
      <c r="L22" t="str">
        <f t="shared" si="0"/>
        <v>Unsafe</v>
      </c>
      <c r="M22" t="str">
        <f t="shared" si="1"/>
        <v>Safe</v>
      </c>
      <c r="N22" t="str">
        <f t="shared" si="2"/>
        <v>Safe</v>
      </c>
      <c r="O22" t="str">
        <f t="shared" si="3"/>
        <v>Contaminated</v>
      </c>
    </row>
    <row r="23" spans="1:15" x14ac:dyDescent="0.35">
      <c r="A23" t="s">
        <v>32</v>
      </c>
      <c r="B23" s="1">
        <v>44762</v>
      </c>
      <c r="C23" t="s">
        <v>311</v>
      </c>
      <c r="D23" t="s">
        <v>318</v>
      </c>
      <c r="E23">
        <v>6.6</v>
      </c>
      <c r="F23">
        <v>239</v>
      </c>
      <c r="G23">
        <v>270</v>
      </c>
      <c r="H23">
        <v>334</v>
      </c>
      <c r="I23">
        <v>56</v>
      </c>
      <c r="J23">
        <v>1.7000000000000001E-2</v>
      </c>
      <c r="K23">
        <v>14</v>
      </c>
      <c r="L23" t="str">
        <f t="shared" si="0"/>
        <v>Safe</v>
      </c>
      <c r="M23" t="str">
        <f t="shared" si="1"/>
        <v>Unsafe</v>
      </c>
      <c r="N23" t="str">
        <f t="shared" si="2"/>
        <v>Unsafe</v>
      </c>
      <c r="O23" t="str">
        <f t="shared" si="3"/>
        <v>Contaminated</v>
      </c>
    </row>
    <row r="24" spans="1:15" x14ac:dyDescent="0.35">
      <c r="A24" t="s">
        <v>33</v>
      </c>
      <c r="B24" s="1">
        <v>44709</v>
      </c>
      <c r="C24" t="s">
        <v>313</v>
      </c>
      <c r="D24" t="s">
        <v>312</v>
      </c>
      <c r="E24">
        <v>7.4</v>
      </c>
      <c r="F24">
        <v>1470</v>
      </c>
      <c r="G24">
        <v>1080</v>
      </c>
      <c r="H24">
        <v>337</v>
      </c>
      <c r="I24">
        <v>50</v>
      </c>
      <c r="J24">
        <v>8.0000000000000002E-3</v>
      </c>
      <c r="K24">
        <v>33</v>
      </c>
      <c r="L24" t="str">
        <f t="shared" si="0"/>
        <v>Safe</v>
      </c>
      <c r="M24" t="str">
        <f t="shared" si="1"/>
        <v>Safe</v>
      </c>
      <c r="N24" t="str">
        <f t="shared" si="2"/>
        <v>Safe</v>
      </c>
      <c r="O24" t="str">
        <f t="shared" si="3"/>
        <v>Safe</v>
      </c>
    </row>
    <row r="25" spans="1:15" x14ac:dyDescent="0.35">
      <c r="A25" t="s">
        <v>34</v>
      </c>
      <c r="B25" s="1">
        <v>44857</v>
      </c>
      <c r="C25" t="s">
        <v>313</v>
      </c>
      <c r="D25" t="s">
        <v>318</v>
      </c>
      <c r="E25">
        <v>9</v>
      </c>
      <c r="F25">
        <v>1003</v>
      </c>
      <c r="G25">
        <v>210</v>
      </c>
      <c r="H25">
        <v>332</v>
      </c>
      <c r="I25">
        <v>54</v>
      </c>
      <c r="J25">
        <v>7.0000000000000001E-3</v>
      </c>
      <c r="K25">
        <v>20</v>
      </c>
      <c r="L25" t="str">
        <f t="shared" si="0"/>
        <v>Unsafe</v>
      </c>
      <c r="M25" t="str">
        <f t="shared" si="1"/>
        <v>Unsafe</v>
      </c>
      <c r="N25" t="str">
        <f t="shared" si="2"/>
        <v>Safe</v>
      </c>
      <c r="O25" t="str">
        <f t="shared" si="3"/>
        <v>Contaminated</v>
      </c>
    </row>
    <row r="26" spans="1:15" x14ac:dyDescent="0.35">
      <c r="A26" t="s">
        <v>35</v>
      </c>
      <c r="B26" s="1">
        <v>44788</v>
      </c>
      <c r="C26" t="s">
        <v>313</v>
      </c>
      <c r="D26" t="s">
        <v>315</v>
      </c>
      <c r="E26">
        <v>7.4</v>
      </c>
      <c r="F26">
        <v>287</v>
      </c>
      <c r="G26">
        <v>745</v>
      </c>
      <c r="H26">
        <v>368</v>
      </c>
      <c r="I26">
        <v>50</v>
      </c>
      <c r="J26">
        <v>2E-3</v>
      </c>
      <c r="K26">
        <v>18</v>
      </c>
      <c r="L26" t="str">
        <f t="shared" si="0"/>
        <v>Safe</v>
      </c>
      <c r="M26" t="str">
        <f t="shared" si="1"/>
        <v>Safe</v>
      </c>
      <c r="N26" t="str">
        <f t="shared" si="2"/>
        <v>Safe</v>
      </c>
      <c r="O26" t="str">
        <f t="shared" si="3"/>
        <v>Safe</v>
      </c>
    </row>
    <row r="27" spans="1:15" x14ac:dyDescent="0.35">
      <c r="A27" t="s">
        <v>36</v>
      </c>
      <c r="B27" s="1">
        <v>44613</v>
      </c>
      <c r="C27" t="s">
        <v>311</v>
      </c>
      <c r="D27" t="s">
        <v>315</v>
      </c>
      <c r="E27">
        <v>7.5</v>
      </c>
      <c r="F27">
        <v>1741</v>
      </c>
      <c r="G27">
        <v>639</v>
      </c>
      <c r="H27">
        <v>370</v>
      </c>
      <c r="I27">
        <v>2</v>
      </c>
      <c r="J27">
        <v>1.2E-2</v>
      </c>
      <c r="K27">
        <v>29</v>
      </c>
      <c r="L27" t="str">
        <f t="shared" si="0"/>
        <v>Safe</v>
      </c>
      <c r="M27" t="str">
        <f t="shared" si="1"/>
        <v>Safe</v>
      </c>
      <c r="N27" t="str">
        <f t="shared" si="2"/>
        <v>Unsafe</v>
      </c>
      <c r="O27" t="str">
        <f t="shared" si="3"/>
        <v>Contaminated</v>
      </c>
    </row>
    <row r="28" spans="1:15" x14ac:dyDescent="0.35">
      <c r="A28" t="s">
        <v>37</v>
      </c>
      <c r="B28" s="1">
        <v>44602</v>
      </c>
      <c r="C28" t="s">
        <v>314</v>
      </c>
      <c r="D28" t="s">
        <v>312</v>
      </c>
      <c r="E28">
        <v>6.2</v>
      </c>
      <c r="F28">
        <v>280</v>
      </c>
      <c r="G28">
        <v>907</v>
      </c>
      <c r="H28">
        <v>252</v>
      </c>
      <c r="I28">
        <v>22</v>
      </c>
      <c r="J28">
        <v>1.9E-2</v>
      </c>
      <c r="K28">
        <v>18</v>
      </c>
      <c r="L28" t="str">
        <f t="shared" si="0"/>
        <v>Unsafe</v>
      </c>
      <c r="M28" t="str">
        <f t="shared" si="1"/>
        <v>Safe</v>
      </c>
      <c r="N28" t="str">
        <f t="shared" si="2"/>
        <v>Unsafe</v>
      </c>
      <c r="O28" t="str">
        <f t="shared" si="3"/>
        <v>Contaminated</v>
      </c>
    </row>
    <row r="29" spans="1:15" x14ac:dyDescent="0.35">
      <c r="A29" t="s">
        <v>38</v>
      </c>
      <c r="B29" s="1">
        <v>44732</v>
      </c>
      <c r="C29" t="s">
        <v>314</v>
      </c>
      <c r="D29" t="s">
        <v>318</v>
      </c>
      <c r="E29">
        <v>6.9</v>
      </c>
      <c r="F29">
        <v>1460</v>
      </c>
      <c r="G29">
        <v>161</v>
      </c>
      <c r="H29">
        <v>299</v>
      </c>
      <c r="I29">
        <v>57</v>
      </c>
      <c r="J29">
        <v>1E-3</v>
      </c>
      <c r="K29">
        <v>23</v>
      </c>
      <c r="L29" t="str">
        <f t="shared" si="0"/>
        <v>Safe</v>
      </c>
      <c r="M29" t="str">
        <f t="shared" si="1"/>
        <v>Unsafe</v>
      </c>
      <c r="N29" t="str">
        <f t="shared" si="2"/>
        <v>Safe</v>
      </c>
      <c r="O29" t="str">
        <f t="shared" si="3"/>
        <v>Contaminated</v>
      </c>
    </row>
    <row r="30" spans="1:15" x14ac:dyDescent="0.35">
      <c r="A30" t="s">
        <v>39</v>
      </c>
      <c r="B30" s="1">
        <v>44801</v>
      </c>
      <c r="C30" t="s">
        <v>316</v>
      </c>
      <c r="D30" t="s">
        <v>318</v>
      </c>
      <c r="E30">
        <v>6.6</v>
      </c>
      <c r="F30">
        <v>944</v>
      </c>
      <c r="G30">
        <v>943</v>
      </c>
      <c r="H30">
        <v>216</v>
      </c>
      <c r="I30">
        <v>5</v>
      </c>
      <c r="J30">
        <v>8.9999999999999993E-3</v>
      </c>
      <c r="K30">
        <v>32</v>
      </c>
      <c r="L30" t="str">
        <f t="shared" si="0"/>
        <v>Safe</v>
      </c>
      <c r="M30" t="str">
        <f t="shared" si="1"/>
        <v>Safe</v>
      </c>
      <c r="N30" t="str">
        <f t="shared" si="2"/>
        <v>Safe</v>
      </c>
      <c r="O30" t="str">
        <f t="shared" si="3"/>
        <v>Safe</v>
      </c>
    </row>
    <row r="31" spans="1:15" x14ac:dyDescent="0.35">
      <c r="A31" t="s">
        <v>40</v>
      </c>
      <c r="B31" s="1">
        <v>44760</v>
      </c>
      <c r="C31" t="s">
        <v>317</v>
      </c>
      <c r="D31" t="s">
        <v>318</v>
      </c>
      <c r="E31">
        <v>8.5</v>
      </c>
      <c r="F31">
        <v>639</v>
      </c>
      <c r="G31">
        <v>760</v>
      </c>
      <c r="H31">
        <v>169</v>
      </c>
      <c r="I31">
        <v>25</v>
      </c>
      <c r="J31">
        <v>1.0999999999999999E-2</v>
      </c>
      <c r="K31">
        <v>25</v>
      </c>
      <c r="L31" t="str">
        <f t="shared" si="0"/>
        <v>Safe</v>
      </c>
      <c r="M31" t="str">
        <f t="shared" si="1"/>
        <v>Safe</v>
      </c>
      <c r="N31" t="str">
        <f t="shared" si="2"/>
        <v>Unsafe</v>
      </c>
      <c r="O31" t="str">
        <f t="shared" si="3"/>
        <v>Contaminated</v>
      </c>
    </row>
    <row r="32" spans="1:15" x14ac:dyDescent="0.35">
      <c r="A32" t="s">
        <v>41</v>
      </c>
      <c r="B32" s="1">
        <v>44601</v>
      </c>
      <c r="C32" t="s">
        <v>314</v>
      </c>
      <c r="D32" t="s">
        <v>318</v>
      </c>
      <c r="E32">
        <v>7.5</v>
      </c>
      <c r="F32">
        <v>1692</v>
      </c>
      <c r="G32">
        <v>683</v>
      </c>
      <c r="H32">
        <v>382</v>
      </c>
      <c r="I32">
        <v>33</v>
      </c>
      <c r="J32">
        <v>1E-3</v>
      </c>
      <c r="K32">
        <v>11</v>
      </c>
      <c r="L32" t="str">
        <f t="shared" si="0"/>
        <v>Safe</v>
      </c>
      <c r="M32" t="str">
        <f t="shared" si="1"/>
        <v>Safe</v>
      </c>
      <c r="N32" t="str">
        <f t="shared" si="2"/>
        <v>Safe</v>
      </c>
      <c r="O32" t="str">
        <f t="shared" si="3"/>
        <v>Safe</v>
      </c>
    </row>
    <row r="33" spans="1:15" x14ac:dyDescent="0.35">
      <c r="A33" t="s">
        <v>42</v>
      </c>
      <c r="B33" s="1">
        <v>44695</v>
      </c>
      <c r="C33" t="s">
        <v>316</v>
      </c>
      <c r="D33" t="s">
        <v>315</v>
      </c>
      <c r="E33">
        <v>6.4</v>
      </c>
      <c r="F33">
        <v>1289</v>
      </c>
      <c r="G33">
        <v>544</v>
      </c>
      <c r="H33">
        <v>232</v>
      </c>
      <c r="I33">
        <v>50</v>
      </c>
      <c r="J33">
        <v>1.7999999999999999E-2</v>
      </c>
      <c r="K33">
        <v>33</v>
      </c>
      <c r="L33" t="str">
        <f t="shared" si="0"/>
        <v>Unsafe</v>
      </c>
      <c r="M33" t="str">
        <f t="shared" si="1"/>
        <v>Safe</v>
      </c>
      <c r="N33" t="str">
        <f t="shared" si="2"/>
        <v>Unsafe</v>
      </c>
      <c r="O33" t="str">
        <f t="shared" si="3"/>
        <v>Contaminated</v>
      </c>
    </row>
    <row r="34" spans="1:15" x14ac:dyDescent="0.35">
      <c r="A34" t="s">
        <v>43</v>
      </c>
      <c r="B34" s="1">
        <v>44719</v>
      </c>
      <c r="C34" t="s">
        <v>313</v>
      </c>
      <c r="D34" t="s">
        <v>315</v>
      </c>
      <c r="E34">
        <v>8.3000000000000007</v>
      </c>
      <c r="F34">
        <v>883</v>
      </c>
      <c r="G34">
        <v>350</v>
      </c>
      <c r="H34">
        <v>125</v>
      </c>
      <c r="I34">
        <v>25</v>
      </c>
      <c r="J34">
        <v>1.2E-2</v>
      </c>
      <c r="K34">
        <v>14</v>
      </c>
      <c r="L34" t="str">
        <f t="shared" si="0"/>
        <v>Safe</v>
      </c>
      <c r="M34" t="str">
        <f t="shared" si="1"/>
        <v>Safe</v>
      </c>
      <c r="N34" t="str">
        <f t="shared" si="2"/>
        <v>Unsafe</v>
      </c>
      <c r="O34" t="str">
        <f t="shared" si="3"/>
        <v>Contaminated</v>
      </c>
    </row>
    <row r="35" spans="1:15" x14ac:dyDescent="0.35">
      <c r="A35" t="s">
        <v>44</v>
      </c>
      <c r="B35" s="1">
        <v>44691</v>
      </c>
      <c r="C35" t="s">
        <v>314</v>
      </c>
      <c r="D35" t="s">
        <v>318</v>
      </c>
      <c r="E35">
        <v>8.3000000000000007</v>
      </c>
      <c r="F35">
        <v>1153</v>
      </c>
      <c r="G35">
        <v>1006</v>
      </c>
      <c r="H35">
        <v>184</v>
      </c>
      <c r="I35">
        <v>18</v>
      </c>
      <c r="J35">
        <v>1.2E-2</v>
      </c>
      <c r="K35">
        <v>32</v>
      </c>
      <c r="L35" t="str">
        <f t="shared" si="0"/>
        <v>Safe</v>
      </c>
      <c r="M35" t="str">
        <f t="shared" si="1"/>
        <v>Safe</v>
      </c>
      <c r="N35" t="str">
        <f t="shared" si="2"/>
        <v>Unsafe</v>
      </c>
      <c r="O35" t="str">
        <f t="shared" si="3"/>
        <v>Contaminated</v>
      </c>
    </row>
    <row r="36" spans="1:15" x14ac:dyDescent="0.35">
      <c r="A36" t="s">
        <v>45</v>
      </c>
      <c r="B36" s="1">
        <v>44594</v>
      </c>
      <c r="C36" t="s">
        <v>317</v>
      </c>
      <c r="D36" t="s">
        <v>312</v>
      </c>
      <c r="E36">
        <v>7.8</v>
      </c>
      <c r="F36">
        <v>1634</v>
      </c>
      <c r="G36">
        <v>261</v>
      </c>
      <c r="H36">
        <v>273</v>
      </c>
      <c r="I36">
        <v>19</v>
      </c>
      <c r="J36">
        <v>1.9E-2</v>
      </c>
      <c r="K36">
        <v>11</v>
      </c>
      <c r="L36" t="str">
        <f t="shared" si="0"/>
        <v>Safe</v>
      </c>
      <c r="M36" t="str">
        <f t="shared" si="1"/>
        <v>Safe</v>
      </c>
      <c r="N36" t="str">
        <f t="shared" si="2"/>
        <v>Unsafe</v>
      </c>
      <c r="O36" t="str">
        <f t="shared" si="3"/>
        <v>Contaminated</v>
      </c>
    </row>
    <row r="37" spans="1:15" x14ac:dyDescent="0.35">
      <c r="A37" t="s">
        <v>46</v>
      </c>
      <c r="B37" s="1">
        <v>44641</v>
      </c>
      <c r="C37" t="s">
        <v>314</v>
      </c>
      <c r="D37" t="s">
        <v>318</v>
      </c>
      <c r="E37">
        <v>8.1999999999999993</v>
      </c>
      <c r="F37">
        <v>1630</v>
      </c>
      <c r="G37">
        <v>979</v>
      </c>
      <c r="H37">
        <v>176</v>
      </c>
      <c r="I37">
        <v>7</v>
      </c>
      <c r="J37">
        <v>1.9E-2</v>
      </c>
      <c r="K37">
        <v>11</v>
      </c>
      <c r="L37" t="str">
        <f t="shared" si="0"/>
        <v>Safe</v>
      </c>
      <c r="M37" t="str">
        <f t="shared" si="1"/>
        <v>Safe</v>
      </c>
      <c r="N37" t="str">
        <f t="shared" si="2"/>
        <v>Unsafe</v>
      </c>
      <c r="O37" t="str">
        <f t="shared" si="3"/>
        <v>Contaminated</v>
      </c>
    </row>
    <row r="38" spans="1:15" x14ac:dyDescent="0.35">
      <c r="A38" t="s">
        <v>47</v>
      </c>
      <c r="B38" s="1">
        <v>44918</v>
      </c>
      <c r="C38" t="s">
        <v>313</v>
      </c>
      <c r="D38" t="s">
        <v>318</v>
      </c>
      <c r="E38">
        <v>8.3000000000000007</v>
      </c>
      <c r="F38">
        <v>1196</v>
      </c>
      <c r="G38">
        <v>304</v>
      </c>
      <c r="H38">
        <v>76</v>
      </c>
      <c r="I38">
        <v>41</v>
      </c>
      <c r="J38">
        <v>1.7999999999999999E-2</v>
      </c>
      <c r="K38">
        <v>10</v>
      </c>
      <c r="L38" t="str">
        <f t="shared" si="0"/>
        <v>Safe</v>
      </c>
      <c r="M38" t="str">
        <f t="shared" si="1"/>
        <v>Safe</v>
      </c>
      <c r="N38" t="str">
        <f t="shared" si="2"/>
        <v>Unsafe</v>
      </c>
      <c r="O38" t="str">
        <f t="shared" si="3"/>
        <v>Contaminated</v>
      </c>
    </row>
    <row r="39" spans="1:15" x14ac:dyDescent="0.35">
      <c r="A39" t="s">
        <v>48</v>
      </c>
      <c r="B39" s="1">
        <v>44816</v>
      </c>
      <c r="C39" t="s">
        <v>313</v>
      </c>
      <c r="D39" t="s">
        <v>315</v>
      </c>
      <c r="E39">
        <v>8.6999999999999993</v>
      </c>
      <c r="F39">
        <v>1500</v>
      </c>
      <c r="G39">
        <v>187</v>
      </c>
      <c r="H39">
        <v>370</v>
      </c>
      <c r="I39">
        <v>2</v>
      </c>
      <c r="J39">
        <v>2E-3</v>
      </c>
      <c r="K39">
        <v>34</v>
      </c>
      <c r="L39" t="str">
        <f t="shared" si="0"/>
        <v>Unsafe</v>
      </c>
      <c r="M39" t="str">
        <f t="shared" si="1"/>
        <v>Safe</v>
      </c>
      <c r="N39" t="str">
        <f t="shared" si="2"/>
        <v>Safe</v>
      </c>
      <c r="O39" t="str">
        <f t="shared" si="3"/>
        <v>Contaminated</v>
      </c>
    </row>
    <row r="40" spans="1:15" x14ac:dyDescent="0.35">
      <c r="A40" t="s">
        <v>49</v>
      </c>
      <c r="B40" s="1">
        <v>44793</v>
      </c>
      <c r="C40" t="s">
        <v>311</v>
      </c>
      <c r="D40" t="s">
        <v>318</v>
      </c>
      <c r="E40">
        <v>7.4</v>
      </c>
      <c r="F40">
        <v>569</v>
      </c>
      <c r="G40">
        <v>593</v>
      </c>
      <c r="H40">
        <v>200</v>
      </c>
      <c r="I40">
        <v>76</v>
      </c>
      <c r="J40">
        <v>0.02</v>
      </c>
      <c r="K40">
        <v>16</v>
      </c>
      <c r="L40" t="str">
        <f t="shared" si="0"/>
        <v>Safe</v>
      </c>
      <c r="M40" t="str">
        <f t="shared" si="1"/>
        <v>Unsafe</v>
      </c>
      <c r="N40" t="str">
        <f t="shared" si="2"/>
        <v>Unsafe</v>
      </c>
      <c r="O40" t="str">
        <f t="shared" si="3"/>
        <v>Contaminated</v>
      </c>
    </row>
    <row r="41" spans="1:15" x14ac:dyDescent="0.35">
      <c r="A41" t="s">
        <v>50</v>
      </c>
      <c r="B41" s="1">
        <v>44902</v>
      </c>
      <c r="C41" t="s">
        <v>313</v>
      </c>
      <c r="D41" t="s">
        <v>312</v>
      </c>
      <c r="E41">
        <v>7</v>
      </c>
      <c r="F41">
        <v>1756</v>
      </c>
      <c r="G41">
        <v>942</v>
      </c>
      <c r="H41">
        <v>394</v>
      </c>
      <c r="I41">
        <v>38</v>
      </c>
      <c r="J41">
        <v>0.02</v>
      </c>
      <c r="K41">
        <v>19</v>
      </c>
      <c r="L41" t="str">
        <f t="shared" si="0"/>
        <v>Safe</v>
      </c>
      <c r="M41" t="str">
        <f t="shared" si="1"/>
        <v>Safe</v>
      </c>
      <c r="N41" t="str">
        <f t="shared" si="2"/>
        <v>Unsafe</v>
      </c>
      <c r="O41" t="str">
        <f t="shared" si="3"/>
        <v>Contaminated</v>
      </c>
    </row>
    <row r="42" spans="1:15" x14ac:dyDescent="0.35">
      <c r="A42" t="s">
        <v>51</v>
      </c>
      <c r="B42" s="1">
        <v>44809</v>
      </c>
      <c r="C42" t="s">
        <v>314</v>
      </c>
      <c r="D42" t="s">
        <v>318</v>
      </c>
      <c r="E42">
        <v>6.4</v>
      </c>
      <c r="F42">
        <v>804</v>
      </c>
      <c r="G42">
        <v>602</v>
      </c>
      <c r="H42">
        <v>342</v>
      </c>
      <c r="I42">
        <v>21</v>
      </c>
      <c r="J42">
        <v>1.9E-2</v>
      </c>
      <c r="K42">
        <v>21</v>
      </c>
      <c r="L42" t="str">
        <f t="shared" si="0"/>
        <v>Unsafe</v>
      </c>
      <c r="M42" t="str">
        <f t="shared" si="1"/>
        <v>Safe</v>
      </c>
      <c r="N42" t="str">
        <f t="shared" si="2"/>
        <v>Unsafe</v>
      </c>
      <c r="O42" t="str">
        <f t="shared" si="3"/>
        <v>Contaminated</v>
      </c>
    </row>
    <row r="43" spans="1:15" x14ac:dyDescent="0.35">
      <c r="A43" t="s">
        <v>52</v>
      </c>
      <c r="B43" s="1">
        <v>44642</v>
      </c>
      <c r="C43" t="s">
        <v>314</v>
      </c>
      <c r="D43" t="s">
        <v>318</v>
      </c>
      <c r="E43">
        <v>9</v>
      </c>
      <c r="F43">
        <v>1182</v>
      </c>
      <c r="G43">
        <v>1183</v>
      </c>
      <c r="H43">
        <v>317</v>
      </c>
      <c r="I43">
        <v>22</v>
      </c>
      <c r="J43">
        <v>0.02</v>
      </c>
      <c r="K43">
        <v>30</v>
      </c>
      <c r="L43" t="str">
        <f t="shared" si="0"/>
        <v>Unsafe</v>
      </c>
      <c r="M43" t="str">
        <f t="shared" si="1"/>
        <v>Safe</v>
      </c>
      <c r="N43" t="str">
        <f t="shared" si="2"/>
        <v>Unsafe</v>
      </c>
      <c r="O43" t="str">
        <f t="shared" si="3"/>
        <v>Contaminated</v>
      </c>
    </row>
    <row r="44" spans="1:15" x14ac:dyDescent="0.35">
      <c r="A44" t="s">
        <v>53</v>
      </c>
      <c r="B44" s="1">
        <v>44703</v>
      </c>
      <c r="C44" t="s">
        <v>317</v>
      </c>
      <c r="D44" t="s">
        <v>312</v>
      </c>
      <c r="E44">
        <v>6.4</v>
      </c>
      <c r="F44">
        <v>546</v>
      </c>
      <c r="G44">
        <v>838</v>
      </c>
      <c r="H44">
        <v>210</v>
      </c>
      <c r="I44">
        <v>13</v>
      </c>
      <c r="J44">
        <v>0.02</v>
      </c>
      <c r="K44">
        <v>19</v>
      </c>
      <c r="L44" t="str">
        <f t="shared" si="0"/>
        <v>Unsafe</v>
      </c>
      <c r="M44" t="str">
        <f t="shared" si="1"/>
        <v>Safe</v>
      </c>
      <c r="N44" t="str">
        <f t="shared" si="2"/>
        <v>Unsafe</v>
      </c>
      <c r="O44" t="str">
        <f t="shared" si="3"/>
        <v>Contaminated</v>
      </c>
    </row>
    <row r="45" spans="1:15" x14ac:dyDescent="0.35">
      <c r="A45" t="s">
        <v>54</v>
      </c>
      <c r="B45" s="1">
        <v>44685</v>
      </c>
      <c r="C45" t="s">
        <v>313</v>
      </c>
      <c r="D45" t="s">
        <v>312</v>
      </c>
      <c r="E45">
        <v>6.2</v>
      </c>
      <c r="F45">
        <v>1399</v>
      </c>
      <c r="G45">
        <v>1028</v>
      </c>
      <c r="H45">
        <v>112</v>
      </c>
      <c r="I45">
        <v>70</v>
      </c>
      <c r="J45">
        <v>0.02</v>
      </c>
      <c r="K45">
        <v>34</v>
      </c>
      <c r="L45" t="str">
        <f t="shared" si="0"/>
        <v>Unsafe</v>
      </c>
      <c r="M45" t="str">
        <f t="shared" si="1"/>
        <v>Unsafe</v>
      </c>
      <c r="N45" t="str">
        <f t="shared" si="2"/>
        <v>Unsafe</v>
      </c>
      <c r="O45" t="str">
        <f t="shared" si="3"/>
        <v>Contaminated</v>
      </c>
    </row>
    <row r="46" spans="1:15" x14ac:dyDescent="0.35">
      <c r="A46" t="s">
        <v>55</v>
      </c>
      <c r="B46" s="1">
        <v>44564</v>
      </c>
      <c r="C46" t="s">
        <v>317</v>
      </c>
      <c r="D46" t="s">
        <v>318</v>
      </c>
      <c r="E46">
        <v>6.6</v>
      </c>
      <c r="F46">
        <v>501</v>
      </c>
      <c r="G46">
        <v>860</v>
      </c>
      <c r="H46">
        <v>314</v>
      </c>
      <c r="I46">
        <v>0</v>
      </c>
      <c r="J46">
        <v>1.4E-2</v>
      </c>
      <c r="K46">
        <v>29</v>
      </c>
      <c r="L46" t="str">
        <f t="shared" si="0"/>
        <v>Safe</v>
      </c>
      <c r="M46" t="str">
        <f t="shared" si="1"/>
        <v>Safe</v>
      </c>
      <c r="N46" t="str">
        <f t="shared" si="2"/>
        <v>Unsafe</v>
      </c>
      <c r="O46" t="str">
        <f t="shared" si="3"/>
        <v>Contaminated</v>
      </c>
    </row>
    <row r="47" spans="1:15" x14ac:dyDescent="0.35">
      <c r="A47" t="s">
        <v>56</v>
      </c>
      <c r="B47" s="1">
        <v>44838</v>
      </c>
      <c r="C47" t="s">
        <v>311</v>
      </c>
      <c r="D47" t="s">
        <v>318</v>
      </c>
      <c r="E47">
        <v>8.5</v>
      </c>
      <c r="F47">
        <v>694</v>
      </c>
      <c r="G47">
        <v>763</v>
      </c>
      <c r="H47">
        <v>107</v>
      </c>
      <c r="I47">
        <v>28</v>
      </c>
      <c r="J47">
        <v>1.2E-2</v>
      </c>
      <c r="K47">
        <v>21</v>
      </c>
      <c r="L47" t="str">
        <f t="shared" si="0"/>
        <v>Safe</v>
      </c>
      <c r="M47" t="str">
        <f t="shared" si="1"/>
        <v>Safe</v>
      </c>
      <c r="N47" t="str">
        <f t="shared" si="2"/>
        <v>Unsafe</v>
      </c>
      <c r="O47" t="str">
        <f t="shared" si="3"/>
        <v>Contaminated</v>
      </c>
    </row>
    <row r="48" spans="1:15" x14ac:dyDescent="0.35">
      <c r="A48" t="s">
        <v>57</v>
      </c>
      <c r="B48" s="1">
        <v>44598</v>
      </c>
      <c r="C48" t="s">
        <v>313</v>
      </c>
      <c r="D48" t="s">
        <v>312</v>
      </c>
      <c r="E48">
        <v>9</v>
      </c>
      <c r="F48">
        <v>1227</v>
      </c>
      <c r="G48">
        <v>784</v>
      </c>
      <c r="H48">
        <v>136</v>
      </c>
      <c r="I48">
        <v>39</v>
      </c>
      <c r="J48">
        <v>1.2999999999999999E-2</v>
      </c>
      <c r="K48">
        <v>16</v>
      </c>
      <c r="L48" t="str">
        <f t="shared" si="0"/>
        <v>Unsafe</v>
      </c>
      <c r="M48" t="str">
        <f t="shared" si="1"/>
        <v>Safe</v>
      </c>
      <c r="N48" t="str">
        <f t="shared" si="2"/>
        <v>Unsafe</v>
      </c>
      <c r="O48" t="str">
        <f t="shared" si="3"/>
        <v>Contaminated</v>
      </c>
    </row>
    <row r="49" spans="1:15" x14ac:dyDescent="0.35">
      <c r="A49" t="s">
        <v>58</v>
      </c>
      <c r="B49" s="1">
        <v>44913</v>
      </c>
      <c r="C49" t="s">
        <v>317</v>
      </c>
      <c r="D49" t="s">
        <v>312</v>
      </c>
      <c r="E49">
        <v>8.1999999999999993</v>
      </c>
      <c r="F49">
        <v>1147</v>
      </c>
      <c r="G49">
        <v>294</v>
      </c>
      <c r="H49">
        <v>275</v>
      </c>
      <c r="I49">
        <v>12</v>
      </c>
      <c r="J49">
        <v>1.2999999999999999E-2</v>
      </c>
      <c r="K49">
        <v>20</v>
      </c>
      <c r="L49" t="str">
        <f t="shared" si="0"/>
        <v>Safe</v>
      </c>
      <c r="M49" t="str">
        <f t="shared" si="1"/>
        <v>Safe</v>
      </c>
      <c r="N49" t="str">
        <f t="shared" si="2"/>
        <v>Unsafe</v>
      </c>
      <c r="O49" t="str">
        <f t="shared" si="3"/>
        <v>Contaminated</v>
      </c>
    </row>
    <row r="50" spans="1:15" x14ac:dyDescent="0.35">
      <c r="A50" t="s">
        <v>59</v>
      </c>
      <c r="B50" s="1">
        <v>44904</v>
      </c>
      <c r="C50" t="s">
        <v>316</v>
      </c>
      <c r="D50" t="s">
        <v>315</v>
      </c>
      <c r="E50">
        <v>6.8</v>
      </c>
      <c r="F50">
        <v>1555</v>
      </c>
      <c r="G50">
        <v>128</v>
      </c>
      <c r="H50">
        <v>104</v>
      </c>
      <c r="I50">
        <v>5</v>
      </c>
      <c r="J50">
        <v>1.2E-2</v>
      </c>
      <c r="K50">
        <v>33</v>
      </c>
      <c r="L50" t="str">
        <f t="shared" si="0"/>
        <v>Safe</v>
      </c>
      <c r="M50" t="str">
        <f t="shared" si="1"/>
        <v>Safe</v>
      </c>
      <c r="N50" t="str">
        <f t="shared" si="2"/>
        <v>Unsafe</v>
      </c>
      <c r="O50" t="str">
        <f t="shared" si="3"/>
        <v>Contaminated</v>
      </c>
    </row>
    <row r="51" spans="1:15" x14ac:dyDescent="0.35">
      <c r="A51" t="s">
        <v>60</v>
      </c>
      <c r="B51" s="1">
        <v>44570</v>
      </c>
      <c r="C51" t="s">
        <v>311</v>
      </c>
      <c r="D51" t="s">
        <v>315</v>
      </c>
      <c r="E51">
        <v>8.6</v>
      </c>
      <c r="F51">
        <v>744</v>
      </c>
      <c r="G51">
        <v>1187</v>
      </c>
      <c r="H51">
        <v>77</v>
      </c>
      <c r="I51">
        <v>14</v>
      </c>
      <c r="J51">
        <v>8.0000000000000002E-3</v>
      </c>
      <c r="K51">
        <v>16</v>
      </c>
      <c r="L51" t="str">
        <f t="shared" si="0"/>
        <v>Unsafe</v>
      </c>
      <c r="M51" t="str">
        <f t="shared" si="1"/>
        <v>Safe</v>
      </c>
      <c r="N51" t="str">
        <f t="shared" si="2"/>
        <v>Safe</v>
      </c>
      <c r="O51" t="str">
        <f t="shared" si="3"/>
        <v>Contaminated</v>
      </c>
    </row>
    <row r="52" spans="1:15" x14ac:dyDescent="0.35">
      <c r="A52" t="s">
        <v>61</v>
      </c>
      <c r="B52" s="1">
        <v>44586</v>
      </c>
      <c r="C52" t="s">
        <v>317</v>
      </c>
      <c r="D52" t="s">
        <v>315</v>
      </c>
      <c r="E52">
        <v>8.9</v>
      </c>
      <c r="F52">
        <v>572</v>
      </c>
      <c r="G52">
        <v>758</v>
      </c>
      <c r="H52">
        <v>222</v>
      </c>
      <c r="I52">
        <v>3</v>
      </c>
      <c r="J52">
        <v>5.0000000000000001E-3</v>
      </c>
      <c r="K52">
        <v>31</v>
      </c>
      <c r="L52" t="str">
        <f t="shared" si="0"/>
        <v>Unsafe</v>
      </c>
      <c r="M52" t="str">
        <f t="shared" si="1"/>
        <v>Safe</v>
      </c>
      <c r="N52" t="str">
        <f t="shared" si="2"/>
        <v>Safe</v>
      </c>
      <c r="O52" t="str">
        <f t="shared" si="3"/>
        <v>Contaminated</v>
      </c>
    </row>
    <row r="53" spans="1:15" x14ac:dyDescent="0.35">
      <c r="A53" t="s">
        <v>62</v>
      </c>
      <c r="B53" s="1">
        <v>44757</v>
      </c>
      <c r="C53" t="s">
        <v>311</v>
      </c>
      <c r="D53" t="s">
        <v>318</v>
      </c>
      <c r="E53">
        <v>8.1999999999999993</v>
      </c>
      <c r="F53">
        <v>1694</v>
      </c>
      <c r="G53">
        <v>715</v>
      </c>
      <c r="H53">
        <v>113</v>
      </c>
      <c r="I53">
        <v>66</v>
      </c>
      <c r="J53">
        <v>0</v>
      </c>
      <c r="K53">
        <v>18</v>
      </c>
      <c r="L53" t="str">
        <f t="shared" si="0"/>
        <v>Safe</v>
      </c>
      <c r="M53" t="str">
        <f t="shared" si="1"/>
        <v>Unsafe</v>
      </c>
      <c r="N53" t="str">
        <f t="shared" si="2"/>
        <v>Safe</v>
      </c>
      <c r="O53" t="str">
        <f t="shared" si="3"/>
        <v>Contaminated</v>
      </c>
    </row>
    <row r="54" spans="1:15" x14ac:dyDescent="0.35">
      <c r="A54" t="s">
        <v>63</v>
      </c>
      <c r="B54" s="1">
        <v>44719</v>
      </c>
      <c r="C54" t="s">
        <v>313</v>
      </c>
      <c r="D54" t="s">
        <v>315</v>
      </c>
      <c r="E54">
        <v>6.8</v>
      </c>
      <c r="F54">
        <v>1568</v>
      </c>
      <c r="G54">
        <v>1135</v>
      </c>
      <c r="H54">
        <v>362</v>
      </c>
      <c r="I54">
        <v>67</v>
      </c>
      <c r="J54">
        <v>1.9E-2</v>
      </c>
      <c r="K54">
        <v>20</v>
      </c>
      <c r="L54" t="str">
        <f t="shared" si="0"/>
        <v>Safe</v>
      </c>
      <c r="M54" t="str">
        <f t="shared" si="1"/>
        <v>Unsafe</v>
      </c>
      <c r="N54" t="str">
        <f t="shared" si="2"/>
        <v>Unsafe</v>
      </c>
      <c r="O54" t="str">
        <f t="shared" si="3"/>
        <v>Contaminated</v>
      </c>
    </row>
    <row r="55" spans="1:15" x14ac:dyDescent="0.35">
      <c r="A55" t="s">
        <v>64</v>
      </c>
      <c r="B55" s="1">
        <v>44700</v>
      </c>
      <c r="C55" t="s">
        <v>316</v>
      </c>
      <c r="D55" t="s">
        <v>315</v>
      </c>
      <c r="E55">
        <v>8.6</v>
      </c>
      <c r="F55">
        <v>226</v>
      </c>
      <c r="G55">
        <v>481</v>
      </c>
      <c r="H55">
        <v>169</v>
      </c>
      <c r="I55">
        <v>20</v>
      </c>
      <c r="J55">
        <v>1.0999999999999999E-2</v>
      </c>
      <c r="K55">
        <v>12</v>
      </c>
      <c r="L55" t="str">
        <f t="shared" si="0"/>
        <v>Unsafe</v>
      </c>
      <c r="M55" t="str">
        <f t="shared" si="1"/>
        <v>Safe</v>
      </c>
      <c r="N55" t="str">
        <f t="shared" si="2"/>
        <v>Unsafe</v>
      </c>
      <c r="O55" t="str">
        <f t="shared" si="3"/>
        <v>Contaminated</v>
      </c>
    </row>
    <row r="56" spans="1:15" x14ac:dyDescent="0.35">
      <c r="A56" t="s">
        <v>65</v>
      </c>
      <c r="B56" s="1">
        <v>44787</v>
      </c>
      <c r="C56" t="s">
        <v>313</v>
      </c>
      <c r="D56" t="s">
        <v>318</v>
      </c>
      <c r="E56">
        <v>6.8</v>
      </c>
      <c r="F56">
        <v>1086</v>
      </c>
      <c r="G56">
        <v>262</v>
      </c>
      <c r="H56">
        <v>274</v>
      </c>
      <c r="I56">
        <v>77</v>
      </c>
      <c r="J56">
        <v>8.9999999999999993E-3</v>
      </c>
      <c r="K56">
        <v>19</v>
      </c>
      <c r="L56" t="str">
        <f t="shared" si="0"/>
        <v>Safe</v>
      </c>
      <c r="M56" t="str">
        <f t="shared" si="1"/>
        <v>Unsafe</v>
      </c>
      <c r="N56" t="str">
        <f t="shared" si="2"/>
        <v>Safe</v>
      </c>
      <c r="O56" t="str">
        <f t="shared" si="3"/>
        <v>Contaminated</v>
      </c>
    </row>
    <row r="57" spans="1:15" x14ac:dyDescent="0.35">
      <c r="A57" t="s">
        <v>66</v>
      </c>
      <c r="B57" s="1">
        <v>44666</v>
      </c>
      <c r="C57" t="s">
        <v>311</v>
      </c>
      <c r="D57" t="s">
        <v>315</v>
      </c>
      <c r="E57">
        <v>7.5</v>
      </c>
      <c r="F57">
        <v>1066</v>
      </c>
      <c r="G57">
        <v>792</v>
      </c>
      <c r="H57">
        <v>82</v>
      </c>
      <c r="I57">
        <v>7</v>
      </c>
      <c r="J57">
        <v>0</v>
      </c>
      <c r="K57">
        <v>16</v>
      </c>
      <c r="L57" t="str">
        <f t="shared" si="0"/>
        <v>Safe</v>
      </c>
      <c r="M57" t="str">
        <f t="shared" si="1"/>
        <v>Safe</v>
      </c>
      <c r="N57" t="str">
        <f t="shared" si="2"/>
        <v>Safe</v>
      </c>
      <c r="O57" t="str">
        <f t="shared" si="3"/>
        <v>Safe</v>
      </c>
    </row>
    <row r="58" spans="1:15" x14ac:dyDescent="0.35">
      <c r="A58" t="s">
        <v>67</v>
      </c>
      <c r="B58" s="1">
        <v>44898</v>
      </c>
      <c r="C58" t="s">
        <v>314</v>
      </c>
      <c r="D58" t="s">
        <v>315</v>
      </c>
      <c r="E58">
        <v>8</v>
      </c>
      <c r="F58">
        <v>799</v>
      </c>
      <c r="G58">
        <v>391</v>
      </c>
      <c r="H58">
        <v>211</v>
      </c>
      <c r="I58">
        <v>17</v>
      </c>
      <c r="J58">
        <v>7.0000000000000001E-3</v>
      </c>
      <c r="K58">
        <v>28</v>
      </c>
      <c r="L58" t="str">
        <f t="shared" si="0"/>
        <v>Safe</v>
      </c>
      <c r="M58" t="str">
        <f t="shared" si="1"/>
        <v>Safe</v>
      </c>
      <c r="N58" t="str">
        <f t="shared" si="2"/>
        <v>Safe</v>
      </c>
      <c r="O58" t="str">
        <f t="shared" si="3"/>
        <v>Safe</v>
      </c>
    </row>
    <row r="59" spans="1:15" x14ac:dyDescent="0.35">
      <c r="A59" t="s">
        <v>68</v>
      </c>
      <c r="B59" s="1">
        <v>44564</v>
      </c>
      <c r="C59" t="s">
        <v>313</v>
      </c>
      <c r="D59" t="s">
        <v>318</v>
      </c>
      <c r="E59">
        <v>7.4</v>
      </c>
      <c r="F59">
        <v>1714</v>
      </c>
      <c r="G59">
        <v>817</v>
      </c>
      <c r="H59">
        <v>114</v>
      </c>
      <c r="I59">
        <v>42</v>
      </c>
      <c r="J59">
        <v>7.0000000000000001E-3</v>
      </c>
      <c r="K59">
        <v>35</v>
      </c>
      <c r="L59" t="str">
        <f t="shared" si="0"/>
        <v>Safe</v>
      </c>
      <c r="M59" t="str">
        <f t="shared" si="1"/>
        <v>Safe</v>
      </c>
      <c r="N59" t="str">
        <f t="shared" si="2"/>
        <v>Safe</v>
      </c>
      <c r="O59" t="str">
        <f t="shared" si="3"/>
        <v>Safe</v>
      </c>
    </row>
    <row r="60" spans="1:15" x14ac:dyDescent="0.35">
      <c r="A60" t="s">
        <v>69</v>
      </c>
      <c r="B60" s="1">
        <v>44684</v>
      </c>
      <c r="C60" t="s">
        <v>311</v>
      </c>
      <c r="D60" t="s">
        <v>315</v>
      </c>
      <c r="E60">
        <v>6.3</v>
      </c>
      <c r="F60">
        <v>565</v>
      </c>
      <c r="G60">
        <v>845</v>
      </c>
      <c r="H60">
        <v>159</v>
      </c>
      <c r="I60">
        <v>61</v>
      </c>
      <c r="J60">
        <v>1E-3</v>
      </c>
      <c r="K60">
        <v>34</v>
      </c>
      <c r="L60" t="str">
        <f t="shared" si="0"/>
        <v>Unsafe</v>
      </c>
      <c r="M60" t="str">
        <f t="shared" si="1"/>
        <v>Unsafe</v>
      </c>
      <c r="N60" t="str">
        <f t="shared" si="2"/>
        <v>Safe</v>
      </c>
      <c r="O60" t="str">
        <f t="shared" si="3"/>
        <v>Contaminated</v>
      </c>
    </row>
    <row r="61" spans="1:15" x14ac:dyDescent="0.35">
      <c r="A61" t="s">
        <v>70</v>
      </c>
      <c r="B61" s="1">
        <v>44904</v>
      </c>
      <c r="C61" t="s">
        <v>311</v>
      </c>
      <c r="D61" t="s">
        <v>315</v>
      </c>
      <c r="E61">
        <v>8.1999999999999993</v>
      </c>
      <c r="F61">
        <v>1445</v>
      </c>
      <c r="G61">
        <v>1138</v>
      </c>
      <c r="H61">
        <v>80</v>
      </c>
      <c r="I61">
        <v>18</v>
      </c>
      <c r="J61">
        <v>1.4999999999999999E-2</v>
      </c>
      <c r="K61">
        <v>31</v>
      </c>
      <c r="L61" t="str">
        <f t="shared" si="0"/>
        <v>Safe</v>
      </c>
      <c r="M61" t="str">
        <f t="shared" si="1"/>
        <v>Safe</v>
      </c>
      <c r="N61" t="str">
        <f t="shared" si="2"/>
        <v>Unsafe</v>
      </c>
      <c r="O61" t="str">
        <f t="shared" si="3"/>
        <v>Contaminated</v>
      </c>
    </row>
    <row r="62" spans="1:15" x14ac:dyDescent="0.35">
      <c r="A62" t="s">
        <v>71</v>
      </c>
      <c r="B62" s="1">
        <v>44582</v>
      </c>
      <c r="C62" t="s">
        <v>316</v>
      </c>
      <c r="D62" t="s">
        <v>312</v>
      </c>
      <c r="E62">
        <v>6.6</v>
      </c>
      <c r="F62">
        <v>1578</v>
      </c>
      <c r="G62">
        <v>1160</v>
      </c>
      <c r="H62">
        <v>165</v>
      </c>
      <c r="I62">
        <v>54</v>
      </c>
      <c r="J62">
        <v>4.0000000000000001E-3</v>
      </c>
      <c r="K62">
        <v>16</v>
      </c>
      <c r="L62" t="str">
        <f t="shared" si="0"/>
        <v>Safe</v>
      </c>
      <c r="M62" t="str">
        <f t="shared" si="1"/>
        <v>Unsafe</v>
      </c>
      <c r="N62" t="str">
        <f t="shared" si="2"/>
        <v>Safe</v>
      </c>
      <c r="O62" t="str">
        <f t="shared" si="3"/>
        <v>Contaminated</v>
      </c>
    </row>
    <row r="63" spans="1:15" x14ac:dyDescent="0.35">
      <c r="A63" t="s">
        <v>72</v>
      </c>
      <c r="B63" s="1">
        <v>44921</v>
      </c>
      <c r="C63" t="s">
        <v>317</v>
      </c>
      <c r="D63" t="s">
        <v>312</v>
      </c>
      <c r="E63">
        <v>8</v>
      </c>
      <c r="F63">
        <v>508</v>
      </c>
      <c r="G63">
        <v>1084</v>
      </c>
      <c r="H63">
        <v>112</v>
      </c>
      <c r="I63">
        <v>15</v>
      </c>
      <c r="J63">
        <v>1.0999999999999999E-2</v>
      </c>
      <c r="K63">
        <v>24</v>
      </c>
      <c r="L63" t="str">
        <f t="shared" si="0"/>
        <v>Safe</v>
      </c>
      <c r="M63" t="str">
        <f t="shared" si="1"/>
        <v>Safe</v>
      </c>
      <c r="N63" t="str">
        <f t="shared" si="2"/>
        <v>Unsafe</v>
      </c>
      <c r="O63" t="str">
        <f t="shared" si="3"/>
        <v>Contaminated</v>
      </c>
    </row>
    <row r="64" spans="1:15" x14ac:dyDescent="0.35">
      <c r="A64" t="s">
        <v>73</v>
      </c>
      <c r="B64" s="1">
        <v>44841</v>
      </c>
      <c r="C64" t="s">
        <v>317</v>
      </c>
      <c r="D64" t="s">
        <v>315</v>
      </c>
      <c r="E64">
        <v>7</v>
      </c>
      <c r="F64">
        <v>994</v>
      </c>
      <c r="G64">
        <v>1037</v>
      </c>
      <c r="H64">
        <v>346</v>
      </c>
      <c r="I64">
        <v>63</v>
      </c>
      <c r="J64">
        <v>1.9E-2</v>
      </c>
      <c r="K64">
        <v>30</v>
      </c>
      <c r="L64" t="str">
        <f t="shared" si="0"/>
        <v>Safe</v>
      </c>
      <c r="M64" t="str">
        <f t="shared" si="1"/>
        <v>Unsafe</v>
      </c>
      <c r="N64" t="str">
        <f t="shared" si="2"/>
        <v>Unsafe</v>
      </c>
      <c r="O64" t="str">
        <f t="shared" si="3"/>
        <v>Contaminated</v>
      </c>
    </row>
    <row r="65" spans="1:15" x14ac:dyDescent="0.35">
      <c r="A65" t="s">
        <v>74</v>
      </c>
      <c r="B65" s="1">
        <v>44757</v>
      </c>
      <c r="C65" t="s">
        <v>311</v>
      </c>
      <c r="D65" t="s">
        <v>315</v>
      </c>
      <c r="E65">
        <v>8.5</v>
      </c>
      <c r="F65">
        <v>895</v>
      </c>
      <c r="G65">
        <v>716</v>
      </c>
      <c r="H65">
        <v>231</v>
      </c>
      <c r="I65">
        <v>33</v>
      </c>
      <c r="J65">
        <v>1.7999999999999999E-2</v>
      </c>
      <c r="K65">
        <v>21</v>
      </c>
      <c r="L65" t="str">
        <f t="shared" si="0"/>
        <v>Safe</v>
      </c>
      <c r="M65" t="str">
        <f t="shared" si="1"/>
        <v>Safe</v>
      </c>
      <c r="N65" t="str">
        <f t="shared" si="2"/>
        <v>Unsafe</v>
      </c>
      <c r="O65" t="str">
        <f t="shared" si="3"/>
        <v>Contaminated</v>
      </c>
    </row>
    <row r="66" spans="1:15" x14ac:dyDescent="0.35">
      <c r="A66" t="s">
        <v>75</v>
      </c>
      <c r="B66" s="1">
        <v>44824</v>
      </c>
      <c r="C66" t="s">
        <v>317</v>
      </c>
      <c r="D66" t="s">
        <v>315</v>
      </c>
      <c r="E66">
        <v>7.4</v>
      </c>
      <c r="F66">
        <v>531</v>
      </c>
      <c r="G66">
        <v>809</v>
      </c>
      <c r="H66">
        <v>74</v>
      </c>
      <c r="I66">
        <v>31</v>
      </c>
      <c r="J66">
        <v>1.6E-2</v>
      </c>
      <c r="K66">
        <v>17</v>
      </c>
      <c r="L66" t="str">
        <f t="shared" si="0"/>
        <v>Safe</v>
      </c>
      <c r="M66" t="str">
        <f t="shared" si="1"/>
        <v>Safe</v>
      </c>
      <c r="N66" t="str">
        <f t="shared" si="2"/>
        <v>Unsafe</v>
      </c>
      <c r="O66" t="str">
        <f t="shared" si="3"/>
        <v>Contaminated</v>
      </c>
    </row>
    <row r="67" spans="1:15" x14ac:dyDescent="0.35">
      <c r="A67" t="s">
        <v>76</v>
      </c>
      <c r="B67" s="1">
        <v>44682</v>
      </c>
      <c r="C67" t="s">
        <v>316</v>
      </c>
      <c r="D67" t="s">
        <v>318</v>
      </c>
      <c r="E67">
        <v>7.8</v>
      </c>
      <c r="F67">
        <v>1565</v>
      </c>
      <c r="G67">
        <v>250</v>
      </c>
      <c r="H67">
        <v>282</v>
      </c>
      <c r="I67">
        <v>27</v>
      </c>
      <c r="J67">
        <v>1.4E-2</v>
      </c>
      <c r="K67">
        <v>14</v>
      </c>
      <c r="L67" t="str">
        <f t="shared" ref="L67:L130" si="4">IF(OR(E67&lt;6.5,E67&gt;8.5),"Unsafe","Safe")</f>
        <v>Safe</v>
      </c>
      <c r="M67" t="str">
        <f t="shared" ref="M67:M130" si="5">IF(I67&gt;50,"Unsafe","Safe")</f>
        <v>Safe</v>
      </c>
      <c r="N67" t="str">
        <f t="shared" ref="N67:N130" si="6">IF(J67&gt;0.01,"Unsafe","Safe")</f>
        <v>Unsafe</v>
      </c>
      <c r="O67" t="str">
        <f t="shared" ref="O67:O130" si="7">IF(OR(L67="Unsafe",M67="Unsafe",N67="Unsafe"),"Contaminated","Safe")</f>
        <v>Contaminated</v>
      </c>
    </row>
    <row r="68" spans="1:15" x14ac:dyDescent="0.35">
      <c r="A68" t="s">
        <v>77</v>
      </c>
      <c r="B68" s="1">
        <v>44782</v>
      </c>
      <c r="C68" t="s">
        <v>316</v>
      </c>
      <c r="D68" t="s">
        <v>312</v>
      </c>
      <c r="E68">
        <v>6.9</v>
      </c>
      <c r="F68">
        <v>451</v>
      </c>
      <c r="G68">
        <v>559</v>
      </c>
      <c r="H68">
        <v>320</v>
      </c>
      <c r="I68">
        <v>7</v>
      </c>
      <c r="J68">
        <v>8.9999999999999993E-3</v>
      </c>
      <c r="K68">
        <v>30</v>
      </c>
      <c r="L68" t="str">
        <f t="shared" si="4"/>
        <v>Safe</v>
      </c>
      <c r="M68" t="str">
        <f t="shared" si="5"/>
        <v>Safe</v>
      </c>
      <c r="N68" t="str">
        <f t="shared" si="6"/>
        <v>Safe</v>
      </c>
      <c r="O68" t="str">
        <f t="shared" si="7"/>
        <v>Safe</v>
      </c>
    </row>
    <row r="69" spans="1:15" x14ac:dyDescent="0.35">
      <c r="A69" t="s">
        <v>78</v>
      </c>
      <c r="B69" s="1">
        <v>44779</v>
      </c>
      <c r="C69" t="s">
        <v>313</v>
      </c>
      <c r="D69" t="s">
        <v>315</v>
      </c>
      <c r="E69">
        <v>8.1999999999999993</v>
      </c>
      <c r="F69">
        <v>1063</v>
      </c>
      <c r="G69">
        <v>1024</v>
      </c>
      <c r="H69">
        <v>103</v>
      </c>
      <c r="I69">
        <v>45</v>
      </c>
      <c r="J69">
        <v>1.7000000000000001E-2</v>
      </c>
      <c r="K69">
        <v>10</v>
      </c>
      <c r="L69" t="str">
        <f t="shared" si="4"/>
        <v>Safe</v>
      </c>
      <c r="M69" t="str">
        <f t="shared" si="5"/>
        <v>Safe</v>
      </c>
      <c r="N69" t="str">
        <f t="shared" si="6"/>
        <v>Unsafe</v>
      </c>
      <c r="O69" t="str">
        <f t="shared" si="7"/>
        <v>Contaminated</v>
      </c>
    </row>
    <row r="70" spans="1:15" x14ac:dyDescent="0.35">
      <c r="A70" t="s">
        <v>79</v>
      </c>
      <c r="B70" s="1">
        <v>44829</v>
      </c>
      <c r="C70" t="s">
        <v>317</v>
      </c>
      <c r="D70" t="s">
        <v>318</v>
      </c>
      <c r="E70">
        <v>7.3</v>
      </c>
      <c r="F70">
        <v>211</v>
      </c>
      <c r="G70">
        <v>319</v>
      </c>
      <c r="H70">
        <v>97</v>
      </c>
      <c r="I70">
        <v>51</v>
      </c>
      <c r="J70">
        <v>5.0000000000000001E-3</v>
      </c>
      <c r="K70">
        <v>21</v>
      </c>
      <c r="L70" t="str">
        <f t="shared" si="4"/>
        <v>Safe</v>
      </c>
      <c r="M70" t="str">
        <f t="shared" si="5"/>
        <v>Unsafe</v>
      </c>
      <c r="N70" t="str">
        <f t="shared" si="6"/>
        <v>Safe</v>
      </c>
      <c r="O70" t="str">
        <f t="shared" si="7"/>
        <v>Contaminated</v>
      </c>
    </row>
    <row r="71" spans="1:15" x14ac:dyDescent="0.35">
      <c r="A71" t="s">
        <v>80</v>
      </c>
      <c r="B71" s="1">
        <v>44887</v>
      </c>
      <c r="C71" t="s">
        <v>311</v>
      </c>
      <c r="D71" t="s">
        <v>318</v>
      </c>
      <c r="E71">
        <v>6.4</v>
      </c>
      <c r="F71">
        <v>1706</v>
      </c>
      <c r="G71">
        <v>699</v>
      </c>
      <c r="H71">
        <v>334</v>
      </c>
      <c r="I71">
        <v>12</v>
      </c>
      <c r="J71">
        <v>0.01</v>
      </c>
      <c r="K71">
        <v>29</v>
      </c>
      <c r="L71" t="str">
        <f t="shared" si="4"/>
        <v>Unsafe</v>
      </c>
      <c r="M71" t="str">
        <f t="shared" si="5"/>
        <v>Safe</v>
      </c>
      <c r="N71" t="str">
        <f t="shared" si="6"/>
        <v>Safe</v>
      </c>
      <c r="O71" t="str">
        <f t="shared" si="7"/>
        <v>Contaminated</v>
      </c>
    </row>
    <row r="72" spans="1:15" x14ac:dyDescent="0.35">
      <c r="A72" t="s">
        <v>81</v>
      </c>
      <c r="B72" s="1">
        <v>44610</v>
      </c>
      <c r="C72" t="s">
        <v>313</v>
      </c>
      <c r="D72" t="s">
        <v>312</v>
      </c>
      <c r="E72">
        <v>6.1</v>
      </c>
      <c r="F72">
        <v>298</v>
      </c>
      <c r="G72">
        <v>1127</v>
      </c>
      <c r="H72">
        <v>264</v>
      </c>
      <c r="I72">
        <v>62</v>
      </c>
      <c r="J72">
        <v>1.4E-2</v>
      </c>
      <c r="K72">
        <v>11</v>
      </c>
      <c r="L72" t="str">
        <f t="shared" si="4"/>
        <v>Unsafe</v>
      </c>
      <c r="M72" t="str">
        <f t="shared" si="5"/>
        <v>Unsafe</v>
      </c>
      <c r="N72" t="str">
        <f t="shared" si="6"/>
        <v>Unsafe</v>
      </c>
      <c r="O72" t="str">
        <f t="shared" si="7"/>
        <v>Contaminated</v>
      </c>
    </row>
    <row r="73" spans="1:15" x14ac:dyDescent="0.35">
      <c r="A73" t="s">
        <v>82</v>
      </c>
      <c r="B73" s="1">
        <v>44901</v>
      </c>
      <c r="C73" t="s">
        <v>313</v>
      </c>
      <c r="D73" t="s">
        <v>312</v>
      </c>
      <c r="E73">
        <v>6</v>
      </c>
      <c r="F73">
        <v>252</v>
      </c>
      <c r="G73">
        <v>1134</v>
      </c>
      <c r="H73">
        <v>102</v>
      </c>
      <c r="I73">
        <v>31</v>
      </c>
      <c r="J73">
        <v>1.4E-2</v>
      </c>
      <c r="K73">
        <v>23</v>
      </c>
      <c r="L73" t="str">
        <f t="shared" si="4"/>
        <v>Unsafe</v>
      </c>
      <c r="M73" t="str">
        <f t="shared" si="5"/>
        <v>Safe</v>
      </c>
      <c r="N73" t="str">
        <f t="shared" si="6"/>
        <v>Unsafe</v>
      </c>
      <c r="O73" t="str">
        <f t="shared" si="7"/>
        <v>Contaminated</v>
      </c>
    </row>
    <row r="74" spans="1:15" x14ac:dyDescent="0.35">
      <c r="A74" t="s">
        <v>83</v>
      </c>
      <c r="B74" s="1">
        <v>44768</v>
      </c>
      <c r="C74" t="s">
        <v>314</v>
      </c>
      <c r="D74" t="s">
        <v>315</v>
      </c>
      <c r="E74">
        <v>7.8</v>
      </c>
      <c r="F74">
        <v>858</v>
      </c>
      <c r="G74">
        <v>693</v>
      </c>
      <c r="H74">
        <v>289</v>
      </c>
      <c r="I74">
        <v>75</v>
      </c>
      <c r="J74">
        <v>7.0000000000000001E-3</v>
      </c>
      <c r="K74">
        <v>24</v>
      </c>
      <c r="L74" t="str">
        <f t="shared" si="4"/>
        <v>Safe</v>
      </c>
      <c r="M74" t="str">
        <f t="shared" si="5"/>
        <v>Unsafe</v>
      </c>
      <c r="N74" t="str">
        <f t="shared" si="6"/>
        <v>Safe</v>
      </c>
      <c r="O74" t="str">
        <f t="shared" si="7"/>
        <v>Contaminated</v>
      </c>
    </row>
    <row r="75" spans="1:15" x14ac:dyDescent="0.35">
      <c r="A75" t="s">
        <v>84</v>
      </c>
      <c r="B75" s="1">
        <v>44598</v>
      </c>
      <c r="C75" t="s">
        <v>311</v>
      </c>
      <c r="D75" t="s">
        <v>318</v>
      </c>
      <c r="E75">
        <v>8.8000000000000007</v>
      </c>
      <c r="F75">
        <v>1619</v>
      </c>
      <c r="G75">
        <v>768</v>
      </c>
      <c r="H75">
        <v>274</v>
      </c>
      <c r="I75">
        <v>63</v>
      </c>
      <c r="J75">
        <v>3.0000000000000001E-3</v>
      </c>
      <c r="K75">
        <v>10</v>
      </c>
      <c r="L75" t="str">
        <f t="shared" si="4"/>
        <v>Unsafe</v>
      </c>
      <c r="M75" t="str">
        <f t="shared" si="5"/>
        <v>Unsafe</v>
      </c>
      <c r="N75" t="str">
        <f t="shared" si="6"/>
        <v>Safe</v>
      </c>
      <c r="O75" t="str">
        <f t="shared" si="7"/>
        <v>Contaminated</v>
      </c>
    </row>
    <row r="76" spans="1:15" x14ac:dyDescent="0.35">
      <c r="A76" t="s">
        <v>85</v>
      </c>
      <c r="B76" s="1">
        <v>44732</v>
      </c>
      <c r="C76" t="s">
        <v>316</v>
      </c>
      <c r="D76" t="s">
        <v>318</v>
      </c>
      <c r="E76">
        <v>6.5</v>
      </c>
      <c r="F76">
        <v>1773</v>
      </c>
      <c r="G76">
        <v>929</v>
      </c>
      <c r="H76">
        <v>71</v>
      </c>
      <c r="I76">
        <v>42</v>
      </c>
      <c r="J76">
        <v>4.0000000000000001E-3</v>
      </c>
      <c r="K76">
        <v>15</v>
      </c>
      <c r="L76" t="str">
        <f t="shared" si="4"/>
        <v>Safe</v>
      </c>
      <c r="M76" t="str">
        <f t="shared" si="5"/>
        <v>Safe</v>
      </c>
      <c r="N76" t="str">
        <f t="shared" si="6"/>
        <v>Safe</v>
      </c>
      <c r="O76" t="str">
        <f t="shared" si="7"/>
        <v>Safe</v>
      </c>
    </row>
    <row r="77" spans="1:15" x14ac:dyDescent="0.35">
      <c r="A77" t="s">
        <v>86</v>
      </c>
      <c r="B77" s="1">
        <v>44678</v>
      </c>
      <c r="C77" t="s">
        <v>314</v>
      </c>
      <c r="D77" t="s">
        <v>318</v>
      </c>
      <c r="E77">
        <v>6.9</v>
      </c>
      <c r="F77">
        <v>676</v>
      </c>
      <c r="G77">
        <v>319</v>
      </c>
      <c r="H77">
        <v>312</v>
      </c>
      <c r="I77">
        <v>70</v>
      </c>
      <c r="J77">
        <v>0</v>
      </c>
      <c r="K77">
        <v>23</v>
      </c>
      <c r="L77" t="str">
        <f t="shared" si="4"/>
        <v>Safe</v>
      </c>
      <c r="M77" t="str">
        <f t="shared" si="5"/>
        <v>Unsafe</v>
      </c>
      <c r="N77" t="str">
        <f t="shared" si="6"/>
        <v>Safe</v>
      </c>
      <c r="O77" t="str">
        <f t="shared" si="7"/>
        <v>Contaminated</v>
      </c>
    </row>
    <row r="78" spans="1:15" x14ac:dyDescent="0.35">
      <c r="A78" t="s">
        <v>87</v>
      </c>
      <c r="B78" s="1">
        <v>44573</v>
      </c>
      <c r="C78" t="s">
        <v>317</v>
      </c>
      <c r="D78" t="s">
        <v>312</v>
      </c>
      <c r="E78">
        <v>7.5</v>
      </c>
      <c r="F78">
        <v>403</v>
      </c>
      <c r="G78">
        <v>1135</v>
      </c>
      <c r="H78">
        <v>202</v>
      </c>
      <c r="I78">
        <v>11</v>
      </c>
      <c r="J78">
        <v>8.9999999999999993E-3</v>
      </c>
      <c r="K78">
        <v>10</v>
      </c>
      <c r="L78" t="str">
        <f t="shared" si="4"/>
        <v>Safe</v>
      </c>
      <c r="M78" t="str">
        <f t="shared" si="5"/>
        <v>Safe</v>
      </c>
      <c r="N78" t="str">
        <f t="shared" si="6"/>
        <v>Safe</v>
      </c>
      <c r="O78" t="str">
        <f t="shared" si="7"/>
        <v>Safe</v>
      </c>
    </row>
    <row r="79" spans="1:15" x14ac:dyDescent="0.35">
      <c r="A79" t="s">
        <v>88</v>
      </c>
      <c r="B79" s="1">
        <v>44805</v>
      </c>
      <c r="C79" t="s">
        <v>314</v>
      </c>
      <c r="D79" t="s">
        <v>315</v>
      </c>
      <c r="E79">
        <v>8.3000000000000007</v>
      </c>
      <c r="F79">
        <v>572</v>
      </c>
      <c r="G79">
        <v>833</v>
      </c>
      <c r="H79">
        <v>357</v>
      </c>
      <c r="I79">
        <v>22</v>
      </c>
      <c r="J79">
        <v>0</v>
      </c>
      <c r="K79">
        <v>24</v>
      </c>
      <c r="L79" t="str">
        <f t="shared" si="4"/>
        <v>Safe</v>
      </c>
      <c r="M79" t="str">
        <f t="shared" si="5"/>
        <v>Safe</v>
      </c>
      <c r="N79" t="str">
        <f t="shared" si="6"/>
        <v>Safe</v>
      </c>
      <c r="O79" t="str">
        <f t="shared" si="7"/>
        <v>Safe</v>
      </c>
    </row>
    <row r="80" spans="1:15" x14ac:dyDescent="0.35">
      <c r="A80" t="s">
        <v>89</v>
      </c>
      <c r="B80" s="1">
        <v>44593</v>
      </c>
      <c r="C80" t="s">
        <v>311</v>
      </c>
      <c r="D80" t="s">
        <v>318</v>
      </c>
      <c r="E80">
        <v>8.8000000000000007</v>
      </c>
      <c r="F80">
        <v>216</v>
      </c>
      <c r="G80">
        <v>1051</v>
      </c>
      <c r="H80">
        <v>212</v>
      </c>
      <c r="I80">
        <v>9</v>
      </c>
      <c r="J80">
        <v>8.9999999999999993E-3</v>
      </c>
      <c r="K80">
        <v>34</v>
      </c>
      <c r="L80" t="str">
        <f t="shared" si="4"/>
        <v>Unsafe</v>
      </c>
      <c r="M80" t="str">
        <f t="shared" si="5"/>
        <v>Safe</v>
      </c>
      <c r="N80" t="str">
        <f t="shared" si="6"/>
        <v>Safe</v>
      </c>
      <c r="O80" t="str">
        <f t="shared" si="7"/>
        <v>Contaminated</v>
      </c>
    </row>
    <row r="81" spans="1:15" x14ac:dyDescent="0.35">
      <c r="A81" t="s">
        <v>90</v>
      </c>
      <c r="B81" s="1">
        <v>44703</v>
      </c>
      <c r="C81" t="s">
        <v>313</v>
      </c>
      <c r="D81" t="s">
        <v>315</v>
      </c>
      <c r="E81">
        <v>8.8000000000000007</v>
      </c>
      <c r="F81">
        <v>622</v>
      </c>
      <c r="G81">
        <v>853</v>
      </c>
      <c r="H81">
        <v>187</v>
      </c>
      <c r="I81">
        <v>3</v>
      </c>
      <c r="J81">
        <v>1.6E-2</v>
      </c>
      <c r="K81">
        <v>30</v>
      </c>
      <c r="L81" t="str">
        <f t="shared" si="4"/>
        <v>Unsafe</v>
      </c>
      <c r="M81" t="str">
        <f t="shared" si="5"/>
        <v>Safe</v>
      </c>
      <c r="N81" t="str">
        <f t="shared" si="6"/>
        <v>Unsafe</v>
      </c>
      <c r="O81" t="str">
        <f t="shared" si="7"/>
        <v>Contaminated</v>
      </c>
    </row>
    <row r="82" spans="1:15" x14ac:dyDescent="0.35">
      <c r="A82" t="s">
        <v>91</v>
      </c>
      <c r="B82" s="1">
        <v>44682</v>
      </c>
      <c r="C82" t="s">
        <v>314</v>
      </c>
      <c r="D82" t="s">
        <v>312</v>
      </c>
      <c r="E82">
        <v>8.1</v>
      </c>
      <c r="F82">
        <v>589</v>
      </c>
      <c r="G82">
        <v>964</v>
      </c>
      <c r="H82">
        <v>369</v>
      </c>
      <c r="I82">
        <v>6</v>
      </c>
      <c r="J82">
        <v>1.9E-2</v>
      </c>
      <c r="K82">
        <v>35</v>
      </c>
      <c r="L82" t="str">
        <f t="shared" si="4"/>
        <v>Safe</v>
      </c>
      <c r="M82" t="str">
        <f t="shared" si="5"/>
        <v>Safe</v>
      </c>
      <c r="N82" t="str">
        <f t="shared" si="6"/>
        <v>Unsafe</v>
      </c>
      <c r="O82" t="str">
        <f t="shared" si="7"/>
        <v>Contaminated</v>
      </c>
    </row>
    <row r="83" spans="1:15" x14ac:dyDescent="0.35">
      <c r="A83" t="s">
        <v>92</v>
      </c>
      <c r="B83" s="1">
        <v>44923</v>
      </c>
      <c r="C83" t="s">
        <v>314</v>
      </c>
      <c r="D83" t="s">
        <v>315</v>
      </c>
      <c r="E83">
        <v>6.7</v>
      </c>
      <c r="F83">
        <v>770</v>
      </c>
      <c r="G83">
        <v>855</v>
      </c>
      <c r="H83">
        <v>331</v>
      </c>
      <c r="I83">
        <v>13</v>
      </c>
      <c r="J83">
        <v>3.0000000000000001E-3</v>
      </c>
      <c r="K83">
        <v>14</v>
      </c>
      <c r="L83" t="str">
        <f t="shared" si="4"/>
        <v>Safe</v>
      </c>
      <c r="M83" t="str">
        <f t="shared" si="5"/>
        <v>Safe</v>
      </c>
      <c r="N83" t="str">
        <f t="shared" si="6"/>
        <v>Safe</v>
      </c>
      <c r="O83" t="str">
        <f t="shared" si="7"/>
        <v>Safe</v>
      </c>
    </row>
    <row r="84" spans="1:15" x14ac:dyDescent="0.35">
      <c r="A84" t="s">
        <v>93</v>
      </c>
      <c r="B84" s="1">
        <v>44589</v>
      </c>
      <c r="C84" t="s">
        <v>317</v>
      </c>
      <c r="D84" t="s">
        <v>312</v>
      </c>
      <c r="E84">
        <v>8.1</v>
      </c>
      <c r="F84">
        <v>1122</v>
      </c>
      <c r="G84">
        <v>164</v>
      </c>
      <c r="H84">
        <v>294</v>
      </c>
      <c r="I84">
        <v>76</v>
      </c>
      <c r="J84">
        <v>1.2999999999999999E-2</v>
      </c>
      <c r="K84">
        <v>22</v>
      </c>
      <c r="L84" t="str">
        <f t="shared" si="4"/>
        <v>Safe</v>
      </c>
      <c r="M84" t="str">
        <f t="shared" si="5"/>
        <v>Unsafe</v>
      </c>
      <c r="N84" t="str">
        <f t="shared" si="6"/>
        <v>Unsafe</v>
      </c>
      <c r="O84" t="str">
        <f t="shared" si="7"/>
        <v>Contaminated</v>
      </c>
    </row>
    <row r="85" spans="1:15" x14ac:dyDescent="0.35">
      <c r="A85" t="s">
        <v>94</v>
      </c>
      <c r="B85" s="1">
        <v>44621</v>
      </c>
      <c r="C85" t="s">
        <v>311</v>
      </c>
      <c r="D85" t="s">
        <v>315</v>
      </c>
      <c r="E85">
        <v>7.3</v>
      </c>
      <c r="F85">
        <v>1548</v>
      </c>
      <c r="G85">
        <v>631</v>
      </c>
      <c r="H85">
        <v>395</v>
      </c>
      <c r="I85">
        <v>13</v>
      </c>
      <c r="J85">
        <v>1.4999999999999999E-2</v>
      </c>
      <c r="K85">
        <v>25</v>
      </c>
      <c r="L85" t="str">
        <f t="shared" si="4"/>
        <v>Safe</v>
      </c>
      <c r="M85" t="str">
        <f t="shared" si="5"/>
        <v>Safe</v>
      </c>
      <c r="N85" t="str">
        <f t="shared" si="6"/>
        <v>Unsafe</v>
      </c>
      <c r="O85" t="str">
        <f t="shared" si="7"/>
        <v>Contaminated</v>
      </c>
    </row>
    <row r="86" spans="1:15" x14ac:dyDescent="0.35">
      <c r="A86" t="s">
        <v>95</v>
      </c>
      <c r="B86" s="1">
        <v>44807</v>
      </c>
      <c r="C86" t="s">
        <v>317</v>
      </c>
      <c r="D86" t="s">
        <v>318</v>
      </c>
      <c r="E86">
        <v>6</v>
      </c>
      <c r="F86">
        <v>1600</v>
      </c>
      <c r="G86">
        <v>818</v>
      </c>
      <c r="H86">
        <v>219</v>
      </c>
      <c r="I86">
        <v>63</v>
      </c>
      <c r="J86">
        <v>8.9999999999999993E-3</v>
      </c>
      <c r="K86">
        <v>14</v>
      </c>
      <c r="L86" t="str">
        <f t="shared" si="4"/>
        <v>Unsafe</v>
      </c>
      <c r="M86" t="str">
        <f t="shared" si="5"/>
        <v>Unsafe</v>
      </c>
      <c r="N86" t="str">
        <f t="shared" si="6"/>
        <v>Safe</v>
      </c>
      <c r="O86" t="str">
        <f t="shared" si="7"/>
        <v>Contaminated</v>
      </c>
    </row>
    <row r="87" spans="1:15" x14ac:dyDescent="0.35">
      <c r="A87" t="s">
        <v>96</v>
      </c>
      <c r="B87" s="1">
        <v>44858</v>
      </c>
      <c r="C87" t="s">
        <v>317</v>
      </c>
      <c r="D87" t="s">
        <v>318</v>
      </c>
      <c r="E87">
        <v>8.3000000000000007</v>
      </c>
      <c r="F87">
        <v>1223</v>
      </c>
      <c r="G87">
        <v>798</v>
      </c>
      <c r="H87">
        <v>126</v>
      </c>
      <c r="I87">
        <v>54</v>
      </c>
      <c r="J87">
        <v>1.9E-2</v>
      </c>
      <c r="K87">
        <v>11</v>
      </c>
      <c r="L87" t="str">
        <f t="shared" si="4"/>
        <v>Safe</v>
      </c>
      <c r="M87" t="str">
        <f t="shared" si="5"/>
        <v>Unsafe</v>
      </c>
      <c r="N87" t="str">
        <f t="shared" si="6"/>
        <v>Unsafe</v>
      </c>
      <c r="O87" t="str">
        <f t="shared" si="7"/>
        <v>Contaminated</v>
      </c>
    </row>
    <row r="88" spans="1:15" x14ac:dyDescent="0.35">
      <c r="A88" t="s">
        <v>97</v>
      </c>
      <c r="B88" s="1">
        <v>44875</v>
      </c>
      <c r="C88" t="s">
        <v>316</v>
      </c>
      <c r="D88" t="s">
        <v>318</v>
      </c>
      <c r="E88">
        <v>8</v>
      </c>
      <c r="F88">
        <v>510</v>
      </c>
      <c r="G88">
        <v>1138</v>
      </c>
      <c r="H88">
        <v>135</v>
      </c>
      <c r="I88">
        <v>16</v>
      </c>
      <c r="J88">
        <v>0.01</v>
      </c>
      <c r="K88">
        <v>31</v>
      </c>
      <c r="L88" t="str">
        <f t="shared" si="4"/>
        <v>Safe</v>
      </c>
      <c r="M88" t="str">
        <f t="shared" si="5"/>
        <v>Safe</v>
      </c>
      <c r="N88" t="str">
        <f t="shared" si="6"/>
        <v>Safe</v>
      </c>
      <c r="O88" t="str">
        <f t="shared" si="7"/>
        <v>Safe</v>
      </c>
    </row>
    <row r="89" spans="1:15" x14ac:dyDescent="0.35">
      <c r="A89" t="s">
        <v>98</v>
      </c>
      <c r="B89" s="1">
        <v>44687</v>
      </c>
      <c r="C89" t="s">
        <v>311</v>
      </c>
      <c r="D89" t="s">
        <v>312</v>
      </c>
      <c r="E89">
        <v>8.4</v>
      </c>
      <c r="F89">
        <v>1461</v>
      </c>
      <c r="G89">
        <v>291</v>
      </c>
      <c r="H89">
        <v>264</v>
      </c>
      <c r="I89">
        <v>17</v>
      </c>
      <c r="J89">
        <v>3.0000000000000001E-3</v>
      </c>
      <c r="K89">
        <v>16</v>
      </c>
      <c r="L89" t="str">
        <f t="shared" si="4"/>
        <v>Safe</v>
      </c>
      <c r="M89" t="str">
        <f t="shared" si="5"/>
        <v>Safe</v>
      </c>
      <c r="N89" t="str">
        <f t="shared" si="6"/>
        <v>Safe</v>
      </c>
      <c r="O89" t="str">
        <f t="shared" si="7"/>
        <v>Safe</v>
      </c>
    </row>
    <row r="90" spans="1:15" x14ac:dyDescent="0.35">
      <c r="A90" t="s">
        <v>99</v>
      </c>
      <c r="B90" s="1">
        <v>44623</v>
      </c>
      <c r="C90" t="s">
        <v>317</v>
      </c>
      <c r="D90" t="s">
        <v>318</v>
      </c>
      <c r="E90">
        <v>7.1</v>
      </c>
      <c r="F90">
        <v>1502</v>
      </c>
      <c r="G90">
        <v>793</v>
      </c>
      <c r="H90">
        <v>66</v>
      </c>
      <c r="I90">
        <v>30</v>
      </c>
      <c r="J90">
        <v>1.4999999999999999E-2</v>
      </c>
      <c r="K90">
        <v>21</v>
      </c>
      <c r="L90" t="str">
        <f t="shared" si="4"/>
        <v>Safe</v>
      </c>
      <c r="M90" t="str">
        <f t="shared" si="5"/>
        <v>Safe</v>
      </c>
      <c r="N90" t="str">
        <f t="shared" si="6"/>
        <v>Unsafe</v>
      </c>
      <c r="O90" t="str">
        <f t="shared" si="7"/>
        <v>Contaminated</v>
      </c>
    </row>
    <row r="91" spans="1:15" x14ac:dyDescent="0.35">
      <c r="A91" t="s">
        <v>100</v>
      </c>
      <c r="B91" s="1">
        <v>44884</v>
      </c>
      <c r="C91" t="s">
        <v>317</v>
      </c>
      <c r="D91" t="s">
        <v>312</v>
      </c>
      <c r="E91">
        <v>8.1</v>
      </c>
      <c r="F91">
        <v>371</v>
      </c>
      <c r="G91">
        <v>479</v>
      </c>
      <c r="H91">
        <v>86</v>
      </c>
      <c r="I91">
        <v>35</v>
      </c>
      <c r="J91">
        <v>5.0000000000000001E-3</v>
      </c>
      <c r="K91">
        <v>29</v>
      </c>
      <c r="L91" t="str">
        <f t="shared" si="4"/>
        <v>Safe</v>
      </c>
      <c r="M91" t="str">
        <f t="shared" si="5"/>
        <v>Safe</v>
      </c>
      <c r="N91" t="str">
        <f t="shared" si="6"/>
        <v>Safe</v>
      </c>
      <c r="O91" t="str">
        <f t="shared" si="7"/>
        <v>Safe</v>
      </c>
    </row>
    <row r="92" spans="1:15" x14ac:dyDescent="0.35">
      <c r="A92" t="s">
        <v>101</v>
      </c>
      <c r="B92" s="1">
        <v>44699</v>
      </c>
      <c r="C92" t="s">
        <v>311</v>
      </c>
      <c r="D92" t="s">
        <v>312</v>
      </c>
      <c r="E92">
        <v>6.2</v>
      </c>
      <c r="F92">
        <v>595</v>
      </c>
      <c r="G92">
        <v>1048</v>
      </c>
      <c r="H92">
        <v>242</v>
      </c>
      <c r="I92">
        <v>56</v>
      </c>
      <c r="J92">
        <v>0</v>
      </c>
      <c r="K92">
        <v>33</v>
      </c>
      <c r="L92" t="str">
        <f t="shared" si="4"/>
        <v>Unsafe</v>
      </c>
      <c r="M92" t="str">
        <f t="shared" si="5"/>
        <v>Unsafe</v>
      </c>
      <c r="N92" t="str">
        <f t="shared" si="6"/>
        <v>Safe</v>
      </c>
      <c r="O92" t="str">
        <f t="shared" si="7"/>
        <v>Contaminated</v>
      </c>
    </row>
    <row r="93" spans="1:15" x14ac:dyDescent="0.35">
      <c r="A93" t="s">
        <v>102</v>
      </c>
      <c r="B93" s="1">
        <v>44632</v>
      </c>
      <c r="C93" t="s">
        <v>317</v>
      </c>
      <c r="D93" t="s">
        <v>315</v>
      </c>
      <c r="E93">
        <v>6.4</v>
      </c>
      <c r="F93">
        <v>1648</v>
      </c>
      <c r="G93">
        <v>1038</v>
      </c>
      <c r="H93">
        <v>364</v>
      </c>
      <c r="I93">
        <v>31</v>
      </c>
      <c r="J93">
        <v>6.0000000000000001E-3</v>
      </c>
      <c r="K93">
        <v>11</v>
      </c>
      <c r="L93" t="str">
        <f t="shared" si="4"/>
        <v>Unsafe</v>
      </c>
      <c r="M93" t="str">
        <f t="shared" si="5"/>
        <v>Safe</v>
      </c>
      <c r="N93" t="str">
        <f t="shared" si="6"/>
        <v>Safe</v>
      </c>
      <c r="O93" t="str">
        <f t="shared" si="7"/>
        <v>Contaminated</v>
      </c>
    </row>
    <row r="94" spans="1:15" x14ac:dyDescent="0.35">
      <c r="A94" t="s">
        <v>103</v>
      </c>
      <c r="B94" s="1">
        <v>44656</v>
      </c>
      <c r="C94" t="s">
        <v>311</v>
      </c>
      <c r="D94" t="s">
        <v>315</v>
      </c>
      <c r="E94">
        <v>8.3000000000000007</v>
      </c>
      <c r="F94">
        <v>1667</v>
      </c>
      <c r="G94">
        <v>150</v>
      </c>
      <c r="H94">
        <v>194</v>
      </c>
      <c r="I94">
        <v>37</v>
      </c>
      <c r="J94">
        <v>2E-3</v>
      </c>
      <c r="K94">
        <v>13</v>
      </c>
      <c r="L94" t="str">
        <f t="shared" si="4"/>
        <v>Safe</v>
      </c>
      <c r="M94" t="str">
        <f t="shared" si="5"/>
        <v>Safe</v>
      </c>
      <c r="N94" t="str">
        <f t="shared" si="6"/>
        <v>Safe</v>
      </c>
      <c r="O94" t="str">
        <f t="shared" si="7"/>
        <v>Safe</v>
      </c>
    </row>
    <row r="95" spans="1:15" x14ac:dyDescent="0.35">
      <c r="A95" t="s">
        <v>104</v>
      </c>
      <c r="B95" s="1">
        <v>44835</v>
      </c>
      <c r="C95" t="s">
        <v>316</v>
      </c>
      <c r="D95" t="s">
        <v>312</v>
      </c>
      <c r="E95">
        <v>7.9</v>
      </c>
      <c r="F95">
        <v>591</v>
      </c>
      <c r="G95">
        <v>384</v>
      </c>
      <c r="H95">
        <v>199</v>
      </c>
      <c r="I95">
        <v>76</v>
      </c>
      <c r="J95">
        <v>8.9999999999999993E-3</v>
      </c>
      <c r="K95">
        <v>17</v>
      </c>
      <c r="L95" t="str">
        <f t="shared" si="4"/>
        <v>Safe</v>
      </c>
      <c r="M95" t="str">
        <f t="shared" si="5"/>
        <v>Unsafe</v>
      </c>
      <c r="N95" t="str">
        <f t="shared" si="6"/>
        <v>Safe</v>
      </c>
      <c r="O95" t="str">
        <f t="shared" si="7"/>
        <v>Contaminated</v>
      </c>
    </row>
    <row r="96" spans="1:15" x14ac:dyDescent="0.35">
      <c r="A96" t="s">
        <v>105</v>
      </c>
      <c r="B96" s="1">
        <v>44606</v>
      </c>
      <c r="C96" t="s">
        <v>316</v>
      </c>
      <c r="D96" t="s">
        <v>318</v>
      </c>
      <c r="E96">
        <v>6.6</v>
      </c>
      <c r="F96">
        <v>1791</v>
      </c>
      <c r="G96">
        <v>824</v>
      </c>
      <c r="H96">
        <v>396</v>
      </c>
      <c r="I96">
        <v>61</v>
      </c>
      <c r="J96">
        <v>7.0000000000000001E-3</v>
      </c>
      <c r="K96">
        <v>10</v>
      </c>
      <c r="L96" t="str">
        <f t="shared" si="4"/>
        <v>Safe</v>
      </c>
      <c r="M96" t="str">
        <f t="shared" si="5"/>
        <v>Unsafe</v>
      </c>
      <c r="N96" t="str">
        <f t="shared" si="6"/>
        <v>Safe</v>
      </c>
      <c r="O96" t="str">
        <f t="shared" si="7"/>
        <v>Contaminated</v>
      </c>
    </row>
    <row r="97" spans="1:15" x14ac:dyDescent="0.35">
      <c r="A97" t="s">
        <v>106</v>
      </c>
      <c r="B97" s="1">
        <v>44678</v>
      </c>
      <c r="C97" t="s">
        <v>313</v>
      </c>
      <c r="D97" t="s">
        <v>315</v>
      </c>
      <c r="E97">
        <v>7.6</v>
      </c>
      <c r="F97">
        <v>962</v>
      </c>
      <c r="G97">
        <v>890</v>
      </c>
      <c r="H97">
        <v>367</v>
      </c>
      <c r="I97">
        <v>20</v>
      </c>
      <c r="J97">
        <v>0.01</v>
      </c>
      <c r="K97">
        <v>34</v>
      </c>
      <c r="L97" t="str">
        <f t="shared" si="4"/>
        <v>Safe</v>
      </c>
      <c r="M97" t="str">
        <f t="shared" si="5"/>
        <v>Safe</v>
      </c>
      <c r="N97" t="str">
        <f t="shared" si="6"/>
        <v>Safe</v>
      </c>
      <c r="O97" t="str">
        <f t="shared" si="7"/>
        <v>Safe</v>
      </c>
    </row>
    <row r="98" spans="1:15" x14ac:dyDescent="0.35">
      <c r="A98" t="s">
        <v>107</v>
      </c>
      <c r="B98" s="1">
        <v>44818</v>
      </c>
      <c r="C98" t="s">
        <v>314</v>
      </c>
      <c r="D98" t="s">
        <v>315</v>
      </c>
      <c r="E98">
        <v>8.1</v>
      </c>
      <c r="F98">
        <v>1179</v>
      </c>
      <c r="G98">
        <v>224</v>
      </c>
      <c r="H98">
        <v>125</v>
      </c>
      <c r="I98">
        <v>37</v>
      </c>
      <c r="J98">
        <v>2E-3</v>
      </c>
      <c r="K98">
        <v>30</v>
      </c>
      <c r="L98" t="str">
        <f t="shared" si="4"/>
        <v>Safe</v>
      </c>
      <c r="M98" t="str">
        <f t="shared" si="5"/>
        <v>Safe</v>
      </c>
      <c r="N98" t="str">
        <f t="shared" si="6"/>
        <v>Safe</v>
      </c>
      <c r="O98" t="str">
        <f t="shared" si="7"/>
        <v>Safe</v>
      </c>
    </row>
    <row r="99" spans="1:15" x14ac:dyDescent="0.35">
      <c r="A99" t="s">
        <v>108</v>
      </c>
      <c r="B99" s="1">
        <v>44744</v>
      </c>
      <c r="C99" t="s">
        <v>316</v>
      </c>
      <c r="D99" t="s">
        <v>315</v>
      </c>
      <c r="E99">
        <v>7</v>
      </c>
      <c r="F99">
        <v>1036</v>
      </c>
      <c r="G99">
        <v>764</v>
      </c>
      <c r="H99">
        <v>82</v>
      </c>
      <c r="I99">
        <v>9</v>
      </c>
      <c r="J99">
        <v>6.0000000000000001E-3</v>
      </c>
      <c r="K99">
        <v>25</v>
      </c>
      <c r="L99" t="str">
        <f t="shared" si="4"/>
        <v>Safe</v>
      </c>
      <c r="M99" t="str">
        <f t="shared" si="5"/>
        <v>Safe</v>
      </c>
      <c r="N99" t="str">
        <f t="shared" si="6"/>
        <v>Safe</v>
      </c>
      <c r="O99" t="str">
        <f t="shared" si="7"/>
        <v>Safe</v>
      </c>
    </row>
    <row r="100" spans="1:15" x14ac:dyDescent="0.35">
      <c r="A100" t="s">
        <v>109</v>
      </c>
      <c r="B100" s="1">
        <v>44564</v>
      </c>
      <c r="C100" t="s">
        <v>311</v>
      </c>
      <c r="D100" t="s">
        <v>315</v>
      </c>
      <c r="E100">
        <v>6.8</v>
      </c>
      <c r="F100">
        <v>1302</v>
      </c>
      <c r="G100">
        <v>272</v>
      </c>
      <c r="H100">
        <v>266</v>
      </c>
      <c r="I100">
        <v>33</v>
      </c>
      <c r="J100">
        <v>4.0000000000000001E-3</v>
      </c>
      <c r="K100">
        <v>25</v>
      </c>
      <c r="L100" t="str">
        <f t="shared" si="4"/>
        <v>Safe</v>
      </c>
      <c r="M100" t="str">
        <f t="shared" si="5"/>
        <v>Safe</v>
      </c>
      <c r="N100" t="str">
        <f t="shared" si="6"/>
        <v>Safe</v>
      </c>
      <c r="O100" t="str">
        <f t="shared" si="7"/>
        <v>Safe</v>
      </c>
    </row>
    <row r="101" spans="1:15" x14ac:dyDescent="0.35">
      <c r="A101" t="s">
        <v>110</v>
      </c>
      <c r="B101" s="1">
        <v>44564</v>
      </c>
      <c r="C101" t="s">
        <v>316</v>
      </c>
      <c r="D101" t="s">
        <v>318</v>
      </c>
      <c r="E101">
        <v>9</v>
      </c>
      <c r="F101">
        <v>1390</v>
      </c>
      <c r="G101">
        <v>608</v>
      </c>
      <c r="H101">
        <v>275</v>
      </c>
      <c r="I101">
        <v>63</v>
      </c>
      <c r="J101">
        <v>0.01</v>
      </c>
      <c r="K101">
        <v>23</v>
      </c>
      <c r="L101" t="str">
        <f t="shared" si="4"/>
        <v>Unsafe</v>
      </c>
      <c r="M101" t="str">
        <f t="shared" si="5"/>
        <v>Unsafe</v>
      </c>
      <c r="N101" t="str">
        <f t="shared" si="6"/>
        <v>Safe</v>
      </c>
      <c r="O101" t="str">
        <f t="shared" si="7"/>
        <v>Contaminated</v>
      </c>
    </row>
    <row r="102" spans="1:15" x14ac:dyDescent="0.35">
      <c r="A102" t="s">
        <v>111</v>
      </c>
      <c r="B102" s="1">
        <v>44905</v>
      </c>
      <c r="C102" t="s">
        <v>311</v>
      </c>
      <c r="D102" t="s">
        <v>318</v>
      </c>
      <c r="E102">
        <v>6.9</v>
      </c>
      <c r="F102">
        <v>965</v>
      </c>
      <c r="G102">
        <v>218</v>
      </c>
      <c r="H102">
        <v>186</v>
      </c>
      <c r="I102">
        <v>66</v>
      </c>
      <c r="J102">
        <v>7.0000000000000001E-3</v>
      </c>
      <c r="K102">
        <v>20</v>
      </c>
      <c r="L102" t="str">
        <f t="shared" si="4"/>
        <v>Safe</v>
      </c>
      <c r="M102" t="str">
        <f t="shared" si="5"/>
        <v>Unsafe</v>
      </c>
      <c r="N102" t="str">
        <f t="shared" si="6"/>
        <v>Safe</v>
      </c>
      <c r="O102" t="str">
        <f t="shared" si="7"/>
        <v>Contaminated</v>
      </c>
    </row>
    <row r="103" spans="1:15" x14ac:dyDescent="0.35">
      <c r="A103" t="s">
        <v>112</v>
      </c>
      <c r="B103" s="1">
        <v>44855</v>
      </c>
      <c r="C103" t="s">
        <v>311</v>
      </c>
      <c r="D103" t="s">
        <v>318</v>
      </c>
      <c r="E103">
        <v>6.3</v>
      </c>
      <c r="F103">
        <v>1683</v>
      </c>
      <c r="G103">
        <v>287</v>
      </c>
      <c r="H103">
        <v>131</v>
      </c>
      <c r="I103">
        <v>36</v>
      </c>
      <c r="J103">
        <v>8.9999999999999993E-3</v>
      </c>
      <c r="K103">
        <v>33</v>
      </c>
      <c r="L103" t="str">
        <f t="shared" si="4"/>
        <v>Unsafe</v>
      </c>
      <c r="M103" t="str">
        <f t="shared" si="5"/>
        <v>Safe</v>
      </c>
      <c r="N103" t="str">
        <f t="shared" si="6"/>
        <v>Safe</v>
      </c>
      <c r="O103" t="str">
        <f t="shared" si="7"/>
        <v>Contaminated</v>
      </c>
    </row>
    <row r="104" spans="1:15" x14ac:dyDescent="0.35">
      <c r="A104" t="s">
        <v>113</v>
      </c>
      <c r="B104" s="1">
        <v>44861</v>
      </c>
      <c r="C104" t="s">
        <v>311</v>
      </c>
      <c r="D104" t="s">
        <v>318</v>
      </c>
      <c r="E104">
        <v>6.9</v>
      </c>
      <c r="F104">
        <v>341</v>
      </c>
      <c r="G104">
        <v>633</v>
      </c>
      <c r="H104">
        <v>123</v>
      </c>
      <c r="I104">
        <v>17</v>
      </c>
      <c r="J104">
        <v>0.01</v>
      </c>
      <c r="K104">
        <v>10</v>
      </c>
      <c r="L104" t="str">
        <f t="shared" si="4"/>
        <v>Safe</v>
      </c>
      <c r="M104" t="str">
        <f t="shared" si="5"/>
        <v>Safe</v>
      </c>
      <c r="N104" t="str">
        <f t="shared" si="6"/>
        <v>Safe</v>
      </c>
      <c r="O104" t="str">
        <f t="shared" si="7"/>
        <v>Safe</v>
      </c>
    </row>
    <row r="105" spans="1:15" x14ac:dyDescent="0.35">
      <c r="A105" t="s">
        <v>114</v>
      </c>
      <c r="B105" s="1">
        <v>44652</v>
      </c>
      <c r="C105" t="s">
        <v>316</v>
      </c>
      <c r="D105" t="s">
        <v>312</v>
      </c>
      <c r="E105">
        <v>7.8</v>
      </c>
      <c r="F105">
        <v>1555</v>
      </c>
      <c r="G105">
        <v>813</v>
      </c>
      <c r="H105">
        <v>108</v>
      </c>
      <c r="I105">
        <v>21</v>
      </c>
      <c r="J105">
        <v>1.6E-2</v>
      </c>
      <c r="K105">
        <v>35</v>
      </c>
      <c r="L105" t="str">
        <f t="shared" si="4"/>
        <v>Safe</v>
      </c>
      <c r="M105" t="str">
        <f t="shared" si="5"/>
        <v>Safe</v>
      </c>
      <c r="N105" t="str">
        <f t="shared" si="6"/>
        <v>Unsafe</v>
      </c>
      <c r="O105" t="str">
        <f t="shared" si="7"/>
        <v>Contaminated</v>
      </c>
    </row>
    <row r="106" spans="1:15" x14ac:dyDescent="0.35">
      <c r="A106" t="s">
        <v>115</v>
      </c>
      <c r="B106" s="1">
        <v>44825</v>
      </c>
      <c r="C106" t="s">
        <v>311</v>
      </c>
      <c r="D106" t="s">
        <v>312</v>
      </c>
      <c r="E106">
        <v>8.6999999999999993</v>
      </c>
      <c r="F106">
        <v>396</v>
      </c>
      <c r="G106">
        <v>480</v>
      </c>
      <c r="H106">
        <v>204</v>
      </c>
      <c r="I106">
        <v>42</v>
      </c>
      <c r="J106">
        <v>3.0000000000000001E-3</v>
      </c>
      <c r="K106">
        <v>23</v>
      </c>
      <c r="L106" t="str">
        <f t="shared" si="4"/>
        <v>Unsafe</v>
      </c>
      <c r="M106" t="str">
        <f t="shared" si="5"/>
        <v>Safe</v>
      </c>
      <c r="N106" t="str">
        <f t="shared" si="6"/>
        <v>Safe</v>
      </c>
      <c r="O106" t="str">
        <f t="shared" si="7"/>
        <v>Contaminated</v>
      </c>
    </row>
    <row r="107" spans="1:15" x14ac:dyDescent="0.35">
      <c r="A107" t="s">
        <v>116</v>
      </c>
      <c r="B107" s="1">
        <v>44587</v>
      </c>
      <c r="C107" t="s">
        <v>316</v>
      </c>
      <c r="D107" t="s">
        <v>318</v>
      </c>
      <c r="E107">
        <v>6.4</v>
      </c>
      <c r="F107">
        <v>1767</v>
      </c>
      <c r="G107">
        <v>947</v>
      </c>
      <c r="H107">
        <v>211</v>
      </c>
      <c r="I107">
        <v>70</v>
      </c>
      <c r="J107">
        <v>8.9999999999999993E-3</v>
      </c>
      <c r="K107">
        <v>25</v>
      </c>
      <c r="L107" t="str">
        <f t="shared" si="4"/>
        <v>Unsafe</v>
      </c>
      <c r="M107" t="str">
        <f t="shared" si="5"/>
        <v>Unsafe</v>
      </c>
      <c r="N107" t="str">
        <f t="shared" si="6"/>
        <v>Safe</v>
      </c>
      <c r="O107" t="str">
        <f t="shared" si="7"/>
        <v>Contaminated</v>
      </c>
    </row>
    <row r="108" spans="1:15" x14ac:dyDescent="0.35">
      <c r="A108" t="s">
        <v>117</v>
      </c>
      <c r="B108" s="1">
        <v>44736</v>
      </c>
      <c r="C108" t="s">
        <v>314</v>
      </c>
      <c r="D108" t="s">
        <v>318</v>
      </c>
      <c r="E108">
        <v>6.1</v>
      </c>
      <c r="F108">
        <v>662</v>
      </c>
      <c r="G108">
        <v>448</v>
      </c>
      <c r="H108">
        <v>318</v>
      </c>
      <c r="I108">
        <v>64</v>
      </c>
      <c r="J108">
        <v>1.2E-2</v>
      </c>
      <c r="K108">
        <v>32</v>
      </c>
      <c r="L108" t="str">
        <f t="shared" si="4"/>
        <v>Unsafe</v>
      </c>
      <c r="M108" t="str">
        <f t="shared" si="5"/>
        <v>Unsafe</v>
      </c>
      <c r="N108" t="str">
        <f t="shared" si="6"/>
        <v>Unsafe</v>
      </c>
      <c r="O108" t="str">
        <f t="shared" si="7"/>
        <v>Contaminated</v>
      </c>
    </row>
    <row r="109" spans="1:15" x14ac:dyDescent="0.35">
      <c r="A109" t="s">
        <v>118</v>
      </c>
      <c r="B109" s="1">
        <v>44659</v>
      </c>
      <c r="C109" t="s">
        <v>311</v>
      </c>
      <c r="D109" t="s">
        <v>318</v>
      </c>
      <c r="E109">
        <v>8.4</v>
      </c>
      <c r="F109">
        <v>319</v>
      </c>
      <c r="G109">
        <v>119</v>
      </c>
      <c r="H109">
        <v>230</v>
      </c>
      <c r="I109">
        <v>23</v>
      </c>
      <c r="J109">
        <v>8.9999999999999993E-3</v>
      </c>
      <c r="K109">
        <v>14</v>
      </c>
      <c r="L109" t="str">
        <f t="shared" si="4"/>
        <v>Safe</v>
      </c>
      <c r="M109" t="str">
        <f t="shared" si="5"/>
        <v>Safe</v>
      </c>
      <c r="N109" t="str">
        <f t="shared" si="6"/>
        <v>Safe</v>
      </c>
      <c r="O109" t="str">
        <f t="shared" si="7"/>
        <v>Safe</v>
      </c>
    </row>
    <row r="110" spans="1:15" x14ac:dyDescent="0.35">
      <c r="A110" t="s">
        <v>119</v>
      </c>
      <c r="B110" s="1">
        <v>44755</v>
      </c>
      <c r="C110" t="s">
        <v>311</v>
      </c>
      <c r="D110" t="s">
        <v>312</v>
      </c>
      <c r="E110">
        <v>6.1</v>
      </c>
      <c r="F110">
        <v>1046</v>
      </c>
      <c r="G110">
        <v>133</v>
      </c>
      <c r="H110">
        <v>343</v>
      </c>
      <c r="I110">
        <v>17</v>
      </c>
      <c r="J110">
        <v>1.9E-2</v>
      </c>
      <c r="K110">
        <v>32</v>
      </c>
      <c r="L110" t="str">
        <f t="shared" si="4"/>
        <v>Unsafe</v>
      </c>
      <c r="M110" t="str">
        <f t="shared" si="5"/>
        <v>Safe</v>
      </c>
      <c r="N110" t="str">
        <f t="shared" si="6"/>
        <v>Unsafe</v>
      </c>
      <c r="O110" t="str">
        <f t="shared" si="7"/>
        <v>Contaminated</v>
      </c>
    </row>
    <row r="111" spans="1:15" x14ac:dyDescent="0.35">
      <c r="A111" t="s">
        <v>120</v>
      </c>
      <c r="B111" s="1">
        <v>44910</v>
      </c>
      <c r="C111" t="s">
        <v>311</v>
      </c>
      <c r="D111" t="s">
        <v>312</v>
      </c>
      <c r="E111">
        <v>8.1</v>
      </c>
      <c r="F111">
        <v>543</v>
      </c>
      <c r="G111">
        <v>723</v>
      </c>
      <c r="H111">
        <v>255</v>
      </c>
      <c r="I111">
        <v>11</v>
      </c>
      <c r="J111">
        <v>0</v>
      </c>
      <c r="K111">
        <v>27</v>
      </c>
      <c r="L111" t="str">
        <f t="shared" si="4"/>
        <v>Safe</v>
      </c>
      <c r="M111" t="str">
        <f t="shared" si="5"/>
        <v>Safe</v>
      </c>
      <c r="N111" t="str">
        <f t="shared" si="6"/>
        <v>Safe</v>
      </c>
      <c r="O111" t="str">
        <f t="shared" si="7"/>
        <v>Safe</v>
      </c>
    </row>
    <row r="112" spans="1:15" x14ac:dyDescent="0.35">
      <c r="A112" t="s">
        <v>121</v>
      </c>
      <c r="B112" s="1">
        <v>44792</v>
      </c>
      <c r="C112" t="s">
        <v>316</v>
      </c>
      <c r="D112" t="s">
        <v>318</v>
      </c>
      <c r="E112">
        <v>7.9</v>
      </c>
      <c r="F112">
        <v>662</v>
      </c>
      <c r="G112">
        <v>597</v>
      </c>
      <c r="H112">
        <v>290</v>
      </c>
      <c r="I112">
        <v>79</v>
      </c>
      <c r="J112">
        <v>1.2E-2</v>
      </c>
      <c r="K112">
        <v>34</v>
      </c>
      <c r="L112" t="str">
        <f t="shared" si="4"/>
        <v>Safe</v>
      </c>
      <c r="M112" t="str">
        <f t="shared" si="5"/>
        <v>Unsafe</v>
      </c>
      <c r="N112" t="str">
        <f t="shared" si="6"/>
        <v>Unsafe</v>
      </c>
      <c r="O112" t="str">
        <f t="shared" si="7"/>
        <v>Contaminated</v>
      </c>
    </row>
    <row r="113" spans="1:15" x14ac:dyDescent="0.35">
      <c r="A113" t="s">
        <v>122</v>
      </c>
      <c r="B113" s="1">
        <v>44879</v>
      </c>
      <c r="C113" t="s">
        <v>317</v>
      </c>
      <c r="D113" t="s">
        <v>318</v>
      </c>
      <c r="E113">
        <v>6.2</v>
      </c>
      <c r="F113">
        <v>569</v>
      </c>
      <c r="G113">
        <v>1124</v>
      </c>
      <c r="H113">
        <v>94</v>
      </c>
      <c r="I113">
        <v>35</v>
      </c>
      <c r="J113">
        <v>0.01</v>
      </c>
      <c r="K113">
        <v>14</v>
      </c>
      <c r="L113" t="str">
        <f t="shared" si="4"/>
        <v>Unsafe</v>
      </c>
      <c r="M113" t="str">
        <f t="shared" si="5"/>
        <v>Safe</v>
      </c>
      <c r="N113" t="str">
        <f t="shared" si="6"/>
        <v>Safe</v>
      </c>
      <c r="O113" t="str">
        <f t="shared" si="7"/>
        <v>Contaminated</v>
      </c>
    </row>
    <row r="114" spans="1:15" x14ac:dyDescent="0.35">
      <c r="A114" t="s">
        <v>123</v>
      </c>
      <c r="B114" s="1">
        <v>44589</v>
      </c>
      <c r="C114" t="s">
        <v>317</v>
      </c>
      <c r="D114" t="s">
        <v>312</v>
      </c>
      <c r="E114">
        <v>8.9</v>
      </c>
      <c r="F114">
        <v>1066</v>
      </c>
      <c r="G114">
        <v>181</v>
      </c>
      <c r="H114">
        <v>172</v>
      </c>
      <c r="I114">
        <v>23</v>
      </c>
      <c r="J114">
        <v>1.2E-2</v>
      </c>
      <c r="K114">
        <v>28</v>
      </c>
      <c r="L114" t="str">
        <f t="shared" si="4"/>
        <v>Unsafe</v>
      </c>
      <c r="M114" t="str">
        <f t="shared" si="5"/>
        <v>Safe</v>
      </c>
      <c r="N114" t="str">
        <f t="shared" si="6"/>
        <v>Unsafe</v>
      </c>
      <c r="O114" t="str">
        <f t="shared" si="7"/>
        <v>Contaminated</v>
      </c>
    </row>
    <row r="115" spans="1:15" x14ac:dyDescent="0.35">
      <c r="A115" t="s">
        <v>124</v>
      </c>
      <c r="B115" s="1">
        <v>44884</v>
      </c>
      <c r="C115" t="s">
        <v>316</v>
      </c>
      <c r="D115" t="s">
        <v>312</v>
      </c>
      <c r="E115">
        <v>8.4</v>
      </c>
      <c r="F115">
        <v>820</v>
      </c>
      <c r="G115">
        <v>867</v>
      </c>
      <c r="H115">
        <v>249</v>
      </c>
      <c r="I115">
        <v>33</v>
      </c>
      <c r="J115">
        <v>5.0000000000000001E-3</v>
      </c>
      <c r="K115">
        <v>18</v>
      </c>
      <c r="L115" t="str">
        <f t="shared" si="4"/>
        <v>Safe</v>
      </c>
      <c r="M115" t="str">
        <f t="shared" si="5"/>
        <v>Safe</v>
      </c>
      <c r="N115" t="str">
        <f t="shared" si="6"/>
        <v>Safe</v>
      </c>
      <c r="O115" t="str">
        <f t="shared" si="7"/>
        <v>Safe</v>
      </c>
    </row>
    <row r="116" spans="1:15" x14ac:dyDescent="0.35">
      <c r="A116" t="s">
        <v>125</v>
      </c>
      <c r="B116" s="1">
        <v>44837</v>
      </c>
      <c r="C116" t="s">
        <v>316</v>
      </c>
      <c r="D116" t="s">
        <v>312</v>
      </c>
      <c r="E116">
        <v>7.9</v>
      </c>
      <c r="F116">
        <v>760</v>
      </c>
      <c r="G116">
        <v>106</v>
      </c>
      <c r="H116">
        <v>321</v>
      </c>
      <c r="I116">
        <v>16</v>
      </c>
      <c r="J116">
        <v>0.01</v>
      </c>
      <c r="K116">
        <v>29</v>
      </c>
      <c r="L116" t="str">
        <f t="shared" si="4"/>
        <v>Safe</v>
      </c>
      <c r="M116" t="str">
        <f t="shared" si="5"/>
        <v>Safe</v>
      </c>
      <c r="N116" t="str">
        <f t="shared" si="6"/>
        <v>Safe</v>
      </c>
      <c r="O116" t="str">
        <f t="shared" si="7"/>
        <v>Safe</v>
      </c>
    </row>
    <row r="117" spans="1:15" x14ac:dyDescent="0.35">
      <c r="A117" t="s">
        <v>126</v>
      </c>
      <c r="B117" s="1">
        <v>44687</v>
      </c>
      <c r="C117" t="s">
        <v>317</v>
      </c>
      <c r="D117" t="s">
        <v>315</v>
      </c>
      <c r="E117">
        <v>6.6</v>
      </c>
      <c r="F117">
        <v>1622</v>
      </c>
      <c r="G117">
        <v>529</v>
      </c>
      <c r="H117">
        <v>156</v>
      </c>
      <c r="I117">
        <v>16</v>
      </c>
      <c r="J117">
        <v>0</v>
      </c>
      <c r="K117">
        <v>29</v>
      </c>
      <c r="L117" t="str">
        <f t="shared" si="4"/>
        <v>Safe</v>
      </c>
      <c r="M117" t="str">
        <f t="shared" si="5"/>
        <v>Safe</v>
      </c>
      <c r="N117" t="str">
        <f t="shared" si="6"/>
        <v>Safe</v>
      </c>
      <c r="O117" t="str">
        <f t="shared" si="7"/>
        <v>Safe</v>
      </c>
    </row>
    <row r="118" spans="1:15" x14ac:dyDescent="0.35">
      <c r="A118" t="s">
        <v>127</v>
      </c>
      <c r="B118" s="1">
        <v>44719</v>
      </c>
      <c r="C118" t="s">
        <v>311</v>
      </c>
      <c r="D118" t="s">
        <v>318</v>
      </c>
      <c r="E118">
        <v>8.5</v>
      </c>
      <c r="F118">
        <v>335</v>
      </c>
      <c r="G118">
        <v>834</v>
      </c>
      <c r="H118">
        <v>183</v>
      </c>
      <c r="I118">
        <v>1</v>
      </c>
      <c r="J118">
        <v>3.0000000000000001E-3</v>
      </c>
      <c r="K118">
        <v>21</v>
      </c>
      <c r="L118" t="str">
        <f t="shared" si="4"/>
        <v>Safe</v>
      </c>
      <c r="M118" t="str">
        <f t="shared" si="5"/>
        <v>Safe</v>
      </c>
      <c r="N118" t="str">
        <f t="shared" si="6"/>
        <v>Safe</v>
      </c>
      <c r="O118" t="str">
        <f t="shared" si="7"/>
        <v>Safe</v>
      </c>
    </row>
    <row r="119" spans="1:15" x14ac:dyDescent="0.35">
      <c r="A119" t="s">
        <v>128</v>
      </c>
      <c r="B119" s="1">
        <v>44819</v>
      </c>
      <c r="C119" t="s">
        <v>311</v>
      </c>
      <c r="D119" t="s">
        <v>312</v>
      </c>
      <c r="E119">
        <v>8.8000000000000007</v>
      </c>
      <c r="F119">
        <v>467</v>
      </c>
      <c r="G119">
        <v>960</v>
      </c>
      <c r="H119">
        <v>282</v>
      </c>
      <c r="I119">
        <v>77</v>
      </c>
      <c r="J119">
        <v>0</v>
      </c>
      <c r="K119">
        <v>14</v>
      </c>
      <c r="L119" t="str">
        <f t="shared" si="4"/>
        <v>Unsafe</v>
      </c>
      <c r="M119" t="str">
        <f t="shared" si="5"/>
        <v>Unsafe</v>
      </c>
      <c r="N119" t="str">
        <f t="shared" si="6"/>
        <v>Safe</v>
      </c>
      <c r="O119" t="str">
        <f t="shared" si="7"/>
        <v>Contaminated</v>
      </c>
    </row>
    <row r="120" spans="1:15" x14ac:dyDescent="0.35">
      <c r="A120" t="s">
        <v>129</v>
      </c>
      <c r="B120" s="1">
        <v>44660</v>
      </c>
      <c r="C120" t="s">
        <v>316</v>
      </c>
      <c r="D120" t="s">
        <v>312</v>
      </c>
      <c r="E120">
        <v>7.2</v>
      </c>
      <c r="F120">
        <v>1598</v>
      </c>
      <c r="G120">
        <v>241</v>
      </c>
      <c r="H120">
        <v>127</v>
      </c>
      <c r="I120">
        <v>37</v>
      </c>
      <c r="J120">
        <v>7.0000000000000001E-3</v>
      </c>
      <c r="K120">
        <v>30</v>
      </c>
      <c r="L120" t="str">
        <f t="shared" si="4"/>
        <v>Safe</v>
      </c>
      <c r="M120" t="str">
        <f t="shared" si="5"/>
        <v>Safe</v>
      </c>
      <c r="N120" t="str">
        <f t="shared" si="6"/>
        <v>Safe</v>
      </c>
      <c r="O120" t="str">
        <f t="shared" si="7"/>
        <v>Safe</v>
      </c>
    </row>
    <row r="121" spans="1:15" x14ac:dyDescent="0.35">
      <c r="A121" t="s">
        <v>130</v>
      </c>
      <c r="B121" s="1">
        <v>44883</v>
      </c>
      <c r="C121" t="s">
        <v>317</v>
      </c>
      <c r="D121" t="s">
        <v>315</v>
      </c>
      <c r="E121">
        <v>7.6</v>
      </c>
      <c r="F121">
        <v>1262</v>
      </c>
      <c r="G121">
        <v>248</v>
      </c>
      <c r="H121">
        <v>261</v>
      </c>
      <c r="I121">
        <v>36</v>
      </c>
      <c r="J121">
        <v>1.7999999999999999E-2</v>
      </c>
      <c r="K121">
        <v>13</v>
      </c>
      <c r="L121" t="str">
        <f t="shared" si="4"/>
        <v>Safe</v>
      </c>
      <c r="M121" t="str">
        <f t="shared" si="5"/>
        <v>Safe</v>
      </c>
      <c r="N121" t="str">
        <f t="shared" si="6"/>
        <v>Unsafe</v>
      </c>
      <c r="O121" t="str">
        <f t="shared" si="7"/>
        <v>Contaminated</v>
      </c>
    </row>
    <row r="122" spans="1:15" x14ac:dyDescent="0.35">
      <c r="A122" t="s">
        <v>131</v>
      </c>
      <c r="B122" s="1">
        <v>44699</v>
      </c>
      <c r="C122" t="s">
        <v>313</v>
      </c>
      <c r="D122" t="s">
        <v>312</v>
      </c>
      <c r="E122">
        <v>9</v>
      </c>
      <c r="F122">
        <v>806</v>
      </c>
      <c r="G122">
        <v>663</v>
      </c>
      <c r="H122">
        <v>73</v>
      </c>
      <c r="I122">
        <v>46</v>
      </c>
      <c r="J122">
        <v>1E-3</v>
      </c>
      <c r="K122">
        <v>20</v>
      </c>
      <c r="L122" t="str">
        <f t="shared" si="4"/>
        <v>Unsafe</v>
      </c>
      <c r="M122" t="str">
        <f t="shared" si="5"/>
        <v>Safe</v>
      </c>
      <c r="N122" t="str">
        <f t="shared" si="6"/>
        <v>Safe</v>
      </c>
      <c r="O122" t="str">
        <f t="shared" si="7"/>
        <v>Contaminated</v>
      </c>
    </row>
    <row r="123" spans="1:15" x14ac:dyDescent="0.35">
      <c r="A123" t="s">
        <v>132</v>
      </c>
      <c r="B123" s="1">
        <v>44852</v>
      </c>
      <c r="C123" t="s">
        <v>311</v>
      </c>
      <c r="D123" t="s">
        <v>315</v>
      </c>
      <c r="E123">
        <v>7.5</v>
      </c>
      <c r="F123">
        <v>454</v>
      </c>
      <c r="G123">
        <v>609</v>
      </c>
      <c r="H123">
        <v>209</v>
      </c>
      <c r="I123">
        <v>62</v>
      </c>
      <c r="J123">
        <v>2E-3</v>
      </c>
      <c r="K123">
        <v>23</v>
      </c>
      <c r="L123" t="str">
        <f t="shared" si="4"/>
        <v>Safe</v>
      </c>
      <c r="M123" t="str">
        <f t="shared" si="5"/>
        <v>Unsafe</v>
      </c>
      <c r="N123" t="str">
        <f t="shared" si="6"/>
        <v>Safe</v>
      </c>
      <c r="O123" t="str">
        <f t="shared" si="7"/>
        <v>Contaminated</v>
      </c>
    </row>
    <row r="124" spans="1:15" x14ac:dyDescent="0.35">
      <c r="A124" t="s">
        <v>133</v>
      </c>
      <c r="B124" s="1">
        <v>44566</v>
      </c>
      <c r="C124" t="s">
        <v>314</v>
      </c>
      <c r="D124" t="s">
        <v>312</v>
      </c>
      <c r="E124">
        <v>6.2</v>
      </c>
      <c r="F124">
        <v>896</v>
      </c>
      <c r="G124">
        <v>1114</v>
      </c>
      <c r="H124">
        <v>190</v>
      </c>
      <c r="I124">
        <v>11</v>
      </c>
      <c r="J124">
        <v>0.02</v>
      </c>
      <c r="K124">
        <v>16</v>
      </c>
      <c r="L124" t="str">
        <f t="shared" si="4"/>
        <v>Unsafe</v>
      </c>
      <c r="M124" t="str">
        <f t="shared" si="5"/>
        <v>Safe</v>
      </c>
      <c r="N124" t="str">
        <f t="shared" si="6"/>
        <v>Unsafe</v>
      </c>
      <c r="O124" t="str">
        <f t="shared" si="7"/>
        <v>Contaminated</v>
      </c>
    </row>
    <row r="125" spans="1:15" x14ac:dyDescent="0.35">
      <c r="A125" t="s">
        <v>134</v>
      </c>
      <c r="B125" s="1">
        <v>44762</v>
      </c>
      <c r="C125" t="s">
        <v>313</v>
      </c>
      <c r="D125" t="s">
        <v>315</v>
      </c>
      <c r="E125">
        <v>8.6999999999999993</v>
      </c>
      <c r="F125">
        <v>1156</v>
      </c>
      <c r="G125">
        <v>426</v>
      </c>
      <c r="H125">
        <v>336</v>
      </c>
      <c r="I125">
        <v>73</v>
      </c>
      <c r="J125">
        <v>1.4E-2</v>
      </c>
      <c r="K125">
        <v>27</v>
      </c>
      <c r="L125" t="str">
        <f t="shared" si="4"/>
        <v>Unsafe</v>
      </c>
      <c r="M125" t="str">
        <f t="shared" si="5"/>
        <v>Unsafe</v>
      </c>
      <c r="N125" t="str">
        <f t="shared" si="6"/>
        <v>Unsafe</v>
      </c>
      <c r="O125" t="str">
        <f t="shared" si="7"/>
        <v>Contaminated</v>
      </c>
    </row>
    <row r="126" spans="1:15" x14ac:dyDescent="0.35">
      <c r="A126" t="s">
        <v>135</v>
      </c>
      <c r="B126" s="1">
        <v>44733</v>
      </c>
      <c r="C126" t="s">
        <v>314</v>
      </c>
      <c r="D126" t="s">
        <v>318</v>
      </c>
      <c r="E126">
        <v>6.4</v>
      </c>
      <c r="F126">
        <v>506</v>
      </c>
      <c r="G126">
        <v>272</v>
      </c>
      <c r="H126">
        <v>161</v>
      </c>
      <c r="I126">
        <v>57</v>
      </c>
      <c r="J126">
        <v>0</v>
      </c>
      <c r="K126">
        <v>34</v>
      </c>
      <c r="L126" t="str">
        <f t="shared" si="4"/>
        <v>Unsafe</v>
      </c>
      <c r="M126" t="str">
        <f t="shared" si="5"/>
        <v>Unsafe</v>
      </c>
      <c r="N126" t="str">
        <f t="shared" si="6"/>
        <v>Safe</v>
      </c>
      <c r="O126" t="str">
        <f t="shared" si="7"/>
        <v>Contaminated</v>
      </c>
    </row>
    <row r="127" spans="1:15" x14ac:dyDescent="0.35">
      <c r="A127" t="s">
        <v>136</v>
      </c>
      <c r="B127" s="1">
        <v>44724</v>
      </c>
      <c r="C127" t="s">
        <v>313</v>
      </c>
      <c r="D127" t="s">
        <v>312</v>
      </c>
      <c r="E127">
        <v>8.1</v>
      </c>
      <c r="F127">
        <v>1587</v>
      </c>
      <c r="G127">
        <v>206</v>
      </c>
      <c r="H127">
        <v>277</v>
      </c>
      <c r="I127">
        <v>56</v>
      </c>
      <c r="J127">
        <v>7.0000000000000001E-3</v>
      </c>
      <c r="K127">
        <v>19</v>
      </c>
      <c r="L127" t="str">
        <f t="shared" si="4"/>
        <v>Safe</v>
      </c>
      <c r="M127" t="str">
        <f t="shared" si="5"/>
        <v>Unsafe</v>
      </c>
      <c r="N127" t="str">
        <f t="shared" si="6"/>
        <v>Safe</v>
      </c>
      <c r="O127" t="str">
        <f t="shared" si="7"/>
        <v>Contaminated</v>
      </c>
    </row>
    <row r="128" spans="1:15" x14ac:dyDescent="0.35">
      <c r="A128" t="s">
        <v>137</v>
      </c>
      <c r="B128" s="1">
        <v>44624</v>
      </c>
      <c r="C128" t="s">
        <v>316</v>
      </c>
      <c r="D128" t="s">
        <v>312</v>
      </c>
      <c r="E128">
        <v>8.9</v>
      </c>
      <c r="F128">
        <v>1713</v>
      </c>
      <c r="G128">
        <v>136</v>
      </c>
      <c r="H128">
        <v>276</v>
      </c>
      <c r="I128">
        <v>38</v>
      </c>
      <c r="J128">
        <v>5.0000000000000001E-3</v>
      </c>
      <c r="K128">
        <v>10</v>
      </c>
      <c r="L128" t="str">
        <f t="shared" si="4"/>
        <v>Unsafe</v>
      </c>
      <c r="M128" t="str">
        <f t="shared" si="5"/>
        <v>Safe</v>
      </c>
      <c r="N128" t="str">
        <f t="shared" si="6"/>
        <v>Safe</v>
      </c>
      <c r="O128" t="str">
        <f t="shared" si="7"/>
        <v>Contaminated</v>
      </c>
    </row>
    <row r="129" spans="1:15" x14ac:dyDescent="0.35">
      <c r="A129" t="s">
        <v>138</v>
      </c>
      <c r="B129" s="1">
        <v>44603</v>
      </c>
      <c r="C129" t="s">
        <v>311</v>
      </c>
      <c r="D129" t="s">
        <v>312</v>
      </c>
      <c r="E129">
        <v>6.8</v>
      </c>
      <c r="F129">
        <v>855</v>
      </c>
      <c r="G129">
        <v>345</v>
      </c>
      <c r="H129">
        <v>234</v>
      </c>
      <c r="I129">
        <v>69</v>
      </c>
      <c r="J129">
        <v>2E-3</v>
      </c>
      <c r="K129">
        <v>27</v>
      </c>
      <c r="L129" t="str">
        <f t="shared" si="4"/>
        <v>Safe</v>
      </c>
      <c r="M129" t="str">
        <f t="shared" si="5"/>
        <v>Unsafe</v>
      </c>
      <c r="N129" t="str">
        <f t="shared" si="6"/>
        <v>Safe</v>
      </c>
      <c r="O129" t="str">
        <f t="shared" si="7"/>
        <v>Contaminated</v>
      </c>
    </row>
    <row r="130" spans="1:15" x14ac:dyDescent="0.35">
      <c r="A130" t="s">
        <v>139</v>
      </c>
      <c r="B130" s="1">
        <v>44673</v>
      </c>
      <c r="C130" t="s">
        <v>317</v>
      </c>
      <c r="D130" t="s">
        <v>315</v>
      </c>
      <c r="E130">
        <v>8.3000000000000007</v>
      </c>
      <c r="F130">
        <v>1337</v>
      </c>
      <c r="G130">
        <v>1189</v>
      </c>
      <c r="H130">
        <v>204</v>
      </c>
      <c r="I130">
        <v>79</v>
      </c>
      <c r="J130">
        <v>1.4999999999999999E-2</v>
      </c>
      <c r="K130">
        <v>30</v>
      </c>
      <c r="L130" t="str">
        <f t="shared" si="4"/>
        <v>Safe</v>
      </c>
      <c r="M130" t="str">
        <f t="shared" si="5"/>
        <v>Unsafe</v>
      </c>
      <c r="N130" t="str">
        <f t="shared" si="6"/>
        <v>Unsafe</v>
      </c>
      <c r="O130" t="str">
        <f t="shared" si="7"/>
        <v>Contaminated</v>
      </c>
    </row>
    <row r="131" spans="1:15" x14ac:dyDescent="0.35">
      <c r="A131" t="s">
        <v>140</v>
      </c>
      <c r="B131" s="1">
        <v>44857</v>
      </c>
      <c r="C131" t="s">
        <v>316</v>
      </c>
      <c r="D131" t="s">
        <v>312</v>
      </c>
      <c r="E131">
        <v>7.6</v>
      </c>
      <c r="F131">
        <v>1680</v>
      </c>
      <c r="G131">
        <v>379</v>
      </c>
      <c r="H131">
        <v>93</v>
      </c>
      <c r="I131">
        <v>74</v>
      </c>
      <c r="J131">
        <v>1E-3</v>
      </c>
      <c r="K131">
        <v>17</v>
      </c>
      <c r="L131" t="str">
        <f t="shared" ref="L131:L194" si="8">IF(OR(E131&lt;6.5,E131&gt;8.5),"Unsafe","Safe")</f>
        <v>Safe</v>
      </c>
      <c r="M131" t="str">
        <f t="shared" ref="M131:M194" si="9">IF(I131&gt;50,"Unsafe","Safe")</f>
        <v>Unsafe</v>
      </c>
      <c r="N131" t="str">
        <f t="shared" ref="N131:N194" si="10">IF(J131&gt;0.01,"Unsafe","Safe")</f>
        <v>Safe</v>
      </c>
      <c r="O131" t="str">
        <f t="shared" ref="O131:O194" si="11">IF(OR(L131="Unsafe",M131="Unsafe",N131="Unsafe"),"Contaminated","Safe")</f>
        <v>Contaminated</v>
      </c>
    </row>
    <row r="132" spans="1:15" x14ac:dyDescent="0.35">
      <c r="A132" t="s">
        <v>141</v>
      </c>
      <c r="B132" s="1">
        <v>44727</v>
      </c>
      <c r="C132" t="s">
        <v>316</v>
      </c>
      <c r="D132" t="s">
        <v>318</v>
      </c>
      <c r="E132">
        <v>7</v>
      </c>
      <c r="F132">
        <v>301</v>
      </c>
      <c r="G132">
        <v>1198</v>
      </c>
      <c r="H132">
        <v>187</v>
      </c>
      <c r="I132">
        <v>41</v>
      </c>
      <c r="J132">
        <v>0.01</v>
      </c>
      <c r="K132">
        <v>17</v>
      </c>
      <c r="L132" t="str">
        <f t="shared" si="8"/>
        <v>Safe</v>
      </c>
      <c r="M132" t="str">
        <f t="shared" si="9"/>
        <v>Safe</v>
      </c>
      <c r="N132" t="str">
        <f t="shared" si="10"/>
        <v>Safe</v>
      </c>
      <c r="O132" t="str">
        <f t="shared" si="11"/>
        <v>Safe</v>
      </c>
    </row>
    <row r="133" spans="1:15" x14ac:dyDescent="0.35">
      <c r="A133" t="s">
        <v>142</v>
      </c>
      <c r="B133" s="1">
        <v>44734</v>
      </c>
      <c r="C133" t="s">
        <v>317</v>
      </c>
      <c r="D133" t="s">
        <v>318</v>
      </c>
      <c r="E133">
        <v>9</v>
      </c>
      <c r="F133">
        <v>674</v>
      </c>
      <c r="G133">
        <v>500</v>
      </c>
      <c r="H133">
        <v>326</v>
      </c>
      <c r="I133">
        <v>17</v>
      </c>
      <c r="J133">
        <v>0.02</v>
      </c>
      <c r="K133">
        <v>27</v>
      </c>
      <c r="L133" t="str">
        <f t="shared" si="8"/>
        <v>Unsafe</v>
      </c>
      <c r="M133" t="str">
        <f t="shared" si="9"/>
        <v>Safe</v>
      </c>
      <c r="N133" t="str">
        <f t="shared" si="10"/>
        <v>Unsafe</v>
      </c>
      <c r="O133" t="str">
        <f t="shared" si="11"/>
        <v>Contaminated</v>
      </c>
    </row>
    <row r="134" spans="1:15" x14ac:dyDescent="0.35">
      <c r="A134" t="s">
        <v>143</v>
      </c>
      <c r="B134" s="1">
        <v>44738</v>
      </c>
      <c r="C134" t="s">
        <v>313</v>
      </c>
      <c r="D134" t="s">
        <v>312</v>
      </c>
      <c r="E134">
        <v>6.2</v>
      </c>
      <c r="F134">
        <v>1769</v>
      </c>
      <c r="G134">
        <v>1140</v>
      </c>
      <c r="H134">
        <v>160</v>
      </c>
      <c r="I134">
        <v>10</v>
      </c>
      <c r="J134">
        <v>7.0000000000000001E-3</v>
      </c>
      <c r="K134">
        <v>30</v>
      </c>
      <c r="L134" t="str">
        <f t="shared" si="8"/>
        <v>Unsafe</v>
      </c>
      <c r="M134" t="str">
        <f t="shared" si="9"/>
        <v>Safe</v>
      </c>
      <c r="N134" t="str">
        <f t="shared" si="10"/>
        <v>Safe</v>
      </c>
      <c r="O134" t="str">
        <f t="shared" si="11"/>
        <v>Contaminated</v>
      </c>
    </row>
    <row r="135" spans="1:15" x14ac:dyDescent="0.35">
      <c r="A135" t="s">
        <v>144</v>
      </c>
      <c r="B135" s="1">
        <v>44848</v>
      </c>
      <c r="C135" t="s">
        <v>314</v>
      </c>
      <c r="D135" t="s">
        <v>318</v>
      </c>
      <c r="E135">
        <v>7.4</v>
      </c>
      <c r="F135">
        <v>1534</v>
      </c>
      <c r="G135">
        <v>429</v>
      </c>
      <c r="H135">
        <v>371</v>
      </c>
      <c r="I135">
        <v>67</v>
      </c>
      <c r="J135">
        <v>1.9E-2</v>
      </c>
      <c r="K135">
        <v>29</v>
      </c>
      <c r="L135" t="str">
        <f t="shared" si="8"/>
        <v>Safe</v>
      </c>
      <c r="M135" t="str">
        <f t="shared" si="9"/>
        <v>Unsafe</v>
      </c>
      <c r="N135" t="str">
        <f t="shared" si="10"/>
        <v>Unsafe</v>
      </c>
      <c r="O135" t="str">
        <f t="shared" si="11"/>
        <v>Contaminated</v>
      </c>
    </row>
    <row r="136" spans="1:15" x14ac:dyDescent="0.35">
      <c r="A136" t="s">
        <v>145</v>
      </c>
      <c r="B136" s="1">
        <v>44620</v>
      </c>
      <c r="C136" t="s">
        <v>313</v>
      </c>
      <c r="D136" t="s">
        <v>312</v>
      </c>
      <c r="E136">
        <v>6.8</v>
      </c>
      <c r="F136">
        <v>817</v>
      </c>
      <c r="G136">
        <v>453</v>
      </c>
      <c r="H136">
        <v>384</v>
      </c>
      <c r="I136">
        <v>69</v>
      </c>
      <c r="J136">
        <v>3.0000000000000001E-3</v>
      </c>
      <c r="K136">
        <v>25</v>
      </c>
      <c r="L136" t="str">
        <f t="shared" si="8"/>
        <v>Safe</v>
      </c>
      <c r="M136" t="str">
        <f t="shared" si="9"/>
        <v>Unsafe</v>
      </c>
      <c r="N136" t="str">
        <f t="shared" si="10"/>
        <v>Safe</v>
      </c>
      <c r="O136" t="str">
        <f t="shared" si="11"/>
        <v>Contaminated</v>
      </c>
    </row>
    <row r="137" spans="1:15" x14ac:dyDescent="0.35">
      <c r="A137" t="s">
        <v>146</v>
      </c>
      <c r="B137" s="1">
        <v>44744</v>
      </c>
      <c r="C137" t="s">
        <v>317</v>
      </c>
      <c r="D137" t="s">
        <v>315</v>
      </c>
      <c r="E137">
        <v>7.6</v>
      </c>
      <c r="F137">
        <v>1368</v>
      </c>
      <c r="G137">
        <v>598</v>
      </c>
      <c r="H137">
        <v>231</v>
      </c>
      <c r="I137">
        <v>0</v>
      </c>
      <c r="J137">
        <v>8.9999999999999993E-3</v>
      </c>
      <c r="K137">
        <v>16</v>
      </c>
      <c r="L137" t="str">
        <f t="shared" si="8"/>
        <v>Safe</v>
      </c>
      <c r="M137" t="str">
        <f t="shared" si="9"/>
        <v>Safe</v>
      </c>
      <c r="N137" t="str">
        <f t="shared" si="10"/>
        <v>Safe</v>
      </c>
      <c r="O137" t="str">
        <f t="shared" si="11"/>
        <v>Safe</v>
      </c>
    </row>
    <row r="138" spans="1:15" x14ac:dyDescent="0.35">
      <c r="A138" t="s">
        <v>147</v>
      </c>
      <c r="B138" s="1">
        <v>44648</v>
      </c>
      <c r="C138" t="s">
        <v>313</v>
      </c>
      <c r="D138" t="s">
        <v>315</v>
      </c>
      <c r="E138">
        <v>7.9</v>
      </c>
      <c r="F138">
        <v>1001</v>
      </c>
      <c r="G138">
        <v>135</v>
      </c>
      <c r="H138">
        <v>80</v>
      </c>
      <c r="I138">
        <v>17</v>
      </c>
      <c r="J138">
        <v>8.9999999999999993E-3</v>
      </c>
      <c r="K138">
        <v>20</v>
      </c>
      <c r="L138" t="str">
        <f t="shared" si="8"/>
        <v>Safe</v>
      </c>
      <c r="M138" t="str">
        <f t="shared" si="9"/>
        <v>Safe</v>
      </c>
      <c r="N138" t="str">
        <f t="shared" si="10"/>
        <v>Safe</v>
      </c>
      <c r="O138" t="str">
        <f t="shared" si="11"/>
        <v>Safe</v>
      </c>
    </row>
    <row r="139" spans="1:15" x14ac:dyDescent="0.35">
      <c r="A139" t="s">
        <v>148</v>
      </c>
      <c r="B139" s="1">
        <v>44790</v>
      </c>
      <c r="C139" t="s">
        <v>313</v>
      </c>
      <c r="D139" t="s">
        <v>318</v>
      </c>
      <c r="E139">
        <v>8.3000000000000007</v>
      </c>
      <c r="F139">
        <v>1472</v>
      </c>
      <c r="G139">
        <v>652</v>
      </c>
      <c r="H139">
        <v>262</v>
      </c>
      <c r="I139">
        <v>60</v>
      </c>
      <c r="J139">
        <v>8.0000000000000002E-3</v>
      </c>
      <c r="K139">
        <v>31</v>
      </c>
      <c r="L139" t="str">
        <f t="shared" si="8"/>
        <v>Safe</v>
      </c>
      <c r="M139" t="str">
        <f t="shared" si="9"/>
        <v>Unsafe</v>
      </c>
      <c r="N139" t="str">
        <f t="shared" si="10"/>
        <v>Safe</v>
      </c>
      <c r="O139" t="str">
        <f t="shared" si="11"/>
        <v>Contaminated</v>
      </c>
    </row>
    <row r="140" spans="1:15" x14ac:dyDescent="0.35">
      <c r="A140" t="s">
        <v>149</v>
      </c>
      <c r="B140" s="1">
        <v>44616</v>
      </c>
      <c r="C140" t="s">
        <v>314</v>
      </c>
      <c r="D140" t="s">
        <v>315</v>
      </c>
      <c r="E140">
        <v>6.5</v>
      </c>
      <c r="F140">
        <v>677</v>
      </c>
      <c r="G140">
        <v>202</v>
      </c>
      <c r="H140">
        <v>83</v>
      </c>
      <c r="I140">
        <v>32</v>
      </c>
      <c r="J140">
        <v>1.2E-2</v>
      </c>
      <c r="K140">
        <v>29</v>
      </c>
      <c r="L140" t="str">
        <f t="shared" si="8"/>
        <v>Safe</v>
      </c>
      <c r="M140" t="str">
        <f t="shared" si="9"/>
        <v>Safe</v>
      </c>
      <c r="N140" t="str">
        <f t="shared" si="10"/>
        <v>Unsafe</v>
      </c>
      <c r="O140" t="str">
        <f t="shared" si="11"/>
        <v>Contaminated</v>
      </c>
    </row>
    <row r="141" spans="1:15" x14ac:dyDescent="0.35">
      <c r="A141" t="s">
        <v>150</v>
      </c>
      <c r="B141" s="1">
        <v>44720</v>
      </c>
      <c r="C141" t="s">
        <v>314</v>
      </c>
      <c r="D141" t="s">
        <v>318</v>
      </c>
      <c r="E141">
        <v>7.2</v>
      </c>
      <c r="F141">
        <v>998</v>
      </c>
      <c r="G141">
        <v>545</v>
      </c>
      <c r="H141">
        <v>390</v>
      </c>
      <c r="I141">
        <v>28</v>
      </c>
      <c r="J141">
        <v>1.2E-2</v>
      </c>
      <c r="K141">
        <v>33</v>
      </c>
      <c r="L141" t="str">
        <f t="shared" si="8"/>
        <v>Safe</v>
      </c>
      <c r="M141" t="str">
        <f t="shared" si="9"/>
        <v>Safe</v>
      </c>
      <c r="N141" t="str">
        <f t="shared" si="10"/>
        <v>Unsafe</v>
      </c>
      <c r="O141" t="str">
        <f t="shared" si="11"/>
        <v>Contaminated</v>
      </c>
    </row>
    <row r="142" spans="1:15" x14ac:dyDescent="0.35">
      <c r="A142" t="s">
        <v>151</v>
      </c>
      <c r="B142" s="1">
        <v>44824</v>
      </c>
      <c r="C142" t="s">
        <v>313</v>
      </c>
      <c r="D142" t="s">
        <v>312</v>
      </c>
      <c r="E142">
        <v>6.2</v>
      </c>
      <c r="F142">
        <v>1092</v>
      </c>
      <c r="G142">
        <v>999</v>
      </c>
      <c r="H142">
        <v>332</v>
      </c>
      <c r="I142">
        <v>64</v>
      </c>
      <c r="J142">
        <v>1.4E-2</v>
      </c>
      <c r="K142">
        <v>24</v>
      </c>
      <c r="L142" t="str">
        <f t="shared" si="8"/>
        <v>Unsafe</v>
      </c>
      <c r="M142" t="str">
        <f t="shared" si="9"/>
        <v>Unsafe</v>
      </c>
      <c r="N142" t="str">
        <f t="shared" si="10"/>
        <v>Unsafe</v>
      </c>
      <c r="O142" t="str">
        <f t="shared" si="11"/>
        <v>Contaminated</v>
      </c>
    </row>
    <row r="143" spans="1:15" x14ac:dyDescent="0.35">
      <c r="A143" t="s">
        <v>152</v>
      </c>
      <c r="B143" s="1">
        <v>44695</v>
      </c>
      <c r="C143" t="s">
        <v>313</v>
      </c>
      <c r="D143" t="s">
        <v>315</v>
      </c>
      <c r="E143">
        <v>7.7</v>
      </c>
      <c r="F143">
        <v>1528</v>
      </c>
      <c r="G143">
        <v>667</v>
      </c>
      <c r="H143">
        <v>90</v>
      </c>
      <c r="I143">
        <v>14</v>
      </c>
      <c r="J143">
        <v>7.0000000000000001E-3</v>
      </c>
      <c r="K143">
        <v>17</v>
      </c>
      <c r="L143" t="str">
        <f t="shared" si="8"/>
        <v>Safe</v>
      </c>
      <c r="M143" t="str">
        <f t="shared" si="9"/>
        <v>Safe</v>
      </c>
      <c r="N143" t="str">
        <f t="shared" si="10"/>
        <v>Safe</v>
      </c>
      <c r="O143" t="str">
        <f t="shared" si="11"/>
        <v>Safe</v>
      </c>
    </row>
    <row r="144" spans="1:15" x14ac:dyDescent="0.35">
      <c r="A144" t="s">
        <v>153</v>
      </c>
      <c r="B144" s="1">
        <v>44574</v>
      </c>
      <c r="C144" t="s">
        <v>317</v>
      </c>
      <c r="D144" t="s">
        <v>312</v>
      </c>
      <c r="E144">
        <v>6.3</v>
      </c>
      <c r="F144">
        <v>220</v>
      </c>
      <c r="G144">
        <v>1161</v>
      </c>
      <c r="H144">
        <v>144</v>
      </c>
      <c r="I144">
        <v>64</v>
      </c>
      <c r="J144">
        <v>3.0000000000000001E-3</v>
      </c>
      <c r="K144">
        <v>15</v>
      </c>
      <c r="L144" t="str">
        <f t="shared" si="8"/>
        <v>Unsafe</v>
      </c>
      <c r="M144" t="str">
        <f t="shared" si="9"/>
        <v>Unsafe</v>
      </c>
      <c r="N144" t="str">
        <f t="shared" si="10"/>
        <v>Safe</v>
      </c>
      <c r="O144" t="str">
        <f t="shared" si="11"/>
        <v>Contaminated</v>
      </c>
    </row>
    <row r="145" spans="1:15" x14ac:dyDescent="0.35">
      <c r="A145" t="s">
        <v>154</v>
      </c>
      <c r="B145" s="1">
        <v>44563</v>
      </c>
      <c r="C145" t="s">
        <v>316</v>
      </c>
      <c r="D145" t="s">
        <v>312</v>
      </c>
      <c r="E145">
        <v>8.6</v>
      </c>
      <c r="F145">
        <v>1737</v>
      </c>
      <c r="G145">
        <v>165</v>
      </c>
      <c r="H145">
        <v>184</v>
      </c>
      <c r="I145">
        <v>24</v>
      </c>
      <c r="J145">
        <v>1.7999999999999999E-2</v>
      </c>
      <c r="K145">
        <v>28</v>
      </c>
      <c r="L145" t="str">
        <f t="shared" si="8"/>
        <v>Unsafe</v>
      </c>
      <c r="M145" t="str">
        <f t="shared" si="9"/>
        <v>Safe</v>
      </c>
      <c r="N145" t="str">
        <f t="shared" si="10"/>
        <v>Unsafe</v>
      </c>
      <c r="O145" t="str">
        <f t="shared" si="11"/>
        <v>Contaminated</v>
      </c>
    </row>
    <row r="146" spans="1:15" x14ac:dyDescent="0.35">
      <c r="A146" t="s">
        <v>155</v>
      </c>
      <c r="B146" s="1">
        <v>44734</v>
      </c>
      <c r="C146" t="s">
        <v>314</v>
      </c>
      <c r="D146" t="s">
        <v>318</v>
      </c>
      <c r="E146">
        <v>6.3</v>
      </c>
      <c r="F146">
        <v>1067</v>
      </c>
      <c r="G146">
        <v>1072</v>
      </c>
      <c r="H146">
        <v>327</v>
      </c>
      <c r="I146">
        <v>42</v>
      </c>
      <c r="J146">
        <v>6.0000000000000001E-3</v>
      </c>
      <c r="K146">
        <v>19</v>
      </c>
      <c r="L146" t="str">
        <f t="shared" si="8"/>
        <v>Unsafe</v>
      </c>
      <c r="M146" t="str">
        <f t="shared" si="9"/>
        <v>Safe</v>
      </c>
      <c r="N146" t="str">
        <f t="shared" si="10"/>
        <v>Safe</v>
      </c>
      <c r="O146" t="str">
        <f t="shared" si="11"/>
        <v>Contaminated</v>
      </c>
    </row>
    <row r="147" spans="1:15" x14ac:dyDescent="0.35">
      <c r="A147" t="s">
        <v>156</v>
      </c>
      <c r="B147" s="1">
        <v>44635</v>
      </c>
      <c r="C147" t="s">
        <v>311</v>
      </c>
      <c r="D147" t="s">
        <v>315</v>
      </c>
      <c r="E147">
        <v>9</v>
      </c>
      <c r="F147">
        <v>934</v>
      </c>
      <c r="G147">
        <v>1010</v>
      </c>
      <c r="H147">
        <v>303</v>
      </c>
      <c r="I147">
        <v>24</v>
      </c>
      <c r="J147">
        <v>1.9E-2</v>
      </c>
      <c r="K147">
        <v>11</v>
      </c>
      <c r="L147" t="str">
        <f t="shared" si="8"/>
        <v>Unsafe</v>
      </c>
      <c r="M147" t="str">
        <f t="shared" si="9"/>
        <v>Safe</v>
      </c>
      <c r="N147" t="str">
        <f t="shared" si="10"/>
        <v>Unsafe</v>
      </c>
      <c r="O147" t="str">
        <f t="shared" si="11"/>
        <v>Contaminated</v>
      </c>
    </row>
    <row r="148" spans="1:15" x14ac:dyDescent="0.35">
      <c r="A148" t="s">
        <v>157</v>
      </c>
      <c r="B148" s="1">
        <v>44636</v>
      </c>
      <c r="C148" t="s">
        <v>316</v>
      </c>
      <c r="D148" t="s">
        <v>315</v>
      </c>
      <c r="E148">
        <v>6.9</v>
      </c>
      <c r="F148">
        <v>533</v>
      </c>
      <c r="G148">
        <v>1192</v>
      </c>
      <c r="H148">
        <v>145</v>
      </c>
      <c r="I148">
        <v>46</v>
      </c>
      <c r="J148">
        <v>1.6E-2</v>
      </c>
      <c r="K148">
        <v>21</v>
      </c>
      <c r="L148" t="str">
        <f t="shared" si="8"/>
        <v>Safe</v>
      </c>
      <c r="M148" t="str">
        <f t="shared" si="9"/>
        <v>Safe</v>
      </c>
      <c r="N148" t="str">
        <f t="shared" si="10"/>
        <v>Unsafe</v>
      </c>
      <c r="O148" t="str">
        <f t="shared" si="11"/>
        <v>Contaminated</v>
      </c>
    </row>
    <row r="149" spans="1:15" x14ac:dyDescent="0.35">
      <c r="A149" t="s">
        <v>158</v>
      </c>
      <c r="B149" s="1">
        <v>44605</v>
      </c>
      <c r="C149" t="s">
        <v>311</v>
      </c>
      <c r="D149" t="s">
        <v>318</v>
      </c>
      <c r="E149">
        <v>8.1999999999999993</v>
      </c>
      <c r="F149">
        <v>1126</v>
      </c>
      <c r="G149">
        <v>537</v>
      </c>
      <c r="H149">
        <v>152</v>
      </c>
      <c r="I149">
        <v>51</v>
      </c>
      <c r="J149">
        <v>1.4999999999999999E-2</v>
      </c>
      <c r="K149">
        <v>12</v>
      </c>
      <c r="L149" t="str">
        <f t="shared" si="8"/>
        <v>Safe</v>
      </c>
      <c r="M149" t="str">
        <f t="shared" si="9"/>
        <v>Unsafe</v>
      </c>
      <c r="N149" t="str">
        <f t="shared" si="10"/>
        <v>Unsafe</v>
      </c>
      <c r="O149" t="str">
        <f t="shared" si="11"/>
        <v>Contaminated</v>
      </c>
    </row>
    <row r="150" spans="1:15" x14ac:dyDescent="0.35">
      <c r="A150" t="s">
        <v>159</v>
      </c>
      <c r="B150" s="1">
        <v>44689</v>
      </c>
      <c r="C150" t="s">
        <v>314</v>
      </c>
      <c r="D150" t="s">
        <v>312</v>
      </c>
      <c r="E150">
        <v>7.4</v>
      </c>
      <c r="F150">
        <v>435</v>
      </c>
      <c r="G150">
        <v>1022</v>
      </c>
      <c r="H150">
        <v>180</v>
      </c>
      <c r="I150">
        <v>29</v>
      </c>
      <c r="J150">
        <v>6.0000000000000001E-3</v>
      </c>
      <c r="K150">
        <v>17</v>
      </c>
      <c r="L150" t="str">
        <f t="shared" si="8"/>
        <v>Safe</v>
      </c>
      <c r="M150" t="str">
        <f t="shared" si="9"/>
        <v>Safe</v>
      </c>
      <c r="N150" t="str">
        <f t="shared" si="10"/>
        <v>Safe</v>
      </c>
      <c r="O150" t="str">
        <f t="shared" si="11"/>
        <v>Safe</v>
      </c>
    </row>
    <row r="151" spans="1:15" x14ac:dyDescent="0.35">
      <c r="A151" t="s">
        <v>160</v>
      </c>
      <c r="B151" s="1">
        <v>44634</v>
      </c>
      <c r="C151" t="s">
        <v>313</v>
      </c>
      <c r="D151" t="s">
        <v>312</v>
      </c>
      <c r="E151">
        <v>8.1</v>
      </c>
      <c r="F151">
        <v>876</v>
      </c>
      <c r="G151">
        <v>742</v>
      </c>
      <c r="H151">
        <v>108</v>
      </c>
      <c r="I151">
        <v>43</v>
      </c>
      <c r="J151">
        <v>0</v>
      </c>
      <c r="K151">
        <v>35</v>
      </c>
      <c r="L151" t="str">
        <f t="shared" si="8"/>
        <v>Safe</v>
      </c>
      <c r="M151" t="str">
        <f t="shared" si="9"/>
        <v>Safe</v>
      </c>
      <c r="N151" t="str">
        <f t="shared" si="10"/>
        <v>Safe</v>
      </c>
      <c r="O151" t="str">
        <f t="shared" si="11"/>
        <v>Safe</v>
      </c>
    </row>
    <row r="152" spans="1:15" x14ac:dyDescent="0.35">
      <c r="A152" t="s">
        <v>161</v>
      </c>
      <c r="B152" s="1">
        <v>44874</v>
      </c>
      <c r="C152" t="s">
        <v>316</v>
      </c>
      <c r="D152" t="s">
        <v>312</v>
      </c>
      <c r="E152">
        <v>6.9</v>
      </c>
      <c r="F152">
        <v>791</v>
      </c>
      <c r="G152">
        <v>175</v>
      </c>
      <c r="H152">
        <v>252</v>
      </c>
      <c r="I152">
        <v>77</v>
      </c>
      <c r="J152">
        <v>5.0000000000000001E-3</v>
      </c>
      <c r="K152">
        <v>24</v>
      </c>
      <c r="L152" t="str">
        <f t="shared" si="8"/>
        <v>Safe</v>
      </c>
      <c r="M152" t="str">
        <f t="shared" si="9"/>
        <v>Unsafe</v>
      </c>
      <c r="N152" t="str">
        <f t="shared" si="10"/>
        <v>Safe</v>
      </c>
      <c r="O152" t="str">
        <f t="shared" si="11"/>
        <v>Contaminated</v>
      </c>
    </row>
    <row r="153" spans="1:15" x14ac:dyDescent="0.35">
      <c r="A153" t="s">
        <v>162</v>
      </c>
      <c r="B153" s="1">
        <v>44596</v>
      </c>
      <c r="C153" t="s">
        <v>311</v>
      </c>
      <c r="D153" t="s">
        <v>315</v>
      </c>
      <c r="E153">
        <v>8.8000000000000007</v>
      </c>
      <c r="F153">
        <v>1196</v>
      </c>
      <c r="G153">
        <v>113</v>
      </c>
      <c r="H153">
        <v>111</v>
      </c>
      <c r="I153">
        <v>35</v>
      </c>
      <c r="J153">
        <v>1.6E-2</v>
      </c>
      <c r="K153">
        <v>12</v>
      </c>
      <c r="L153" t="str">
        <f t="shared" si="8"/>
        <v>Unsafe</v>
      </c>
      <c r="M153" t="str">
        <f t="shared" si="9"/>
        <v>Safe</v>
      </c>
      <c r="N153" t="str">
        <f t="shared" si="10"/>
        <v>Unsafe</v>
      </c>
      <c r="O153" t="str">
        <f t="shared" si="11"/>
        <v>Contaminated</v>
      </c>
    </row>
    <row r="154" spans="1:15" x14ac:dyDescent="0.35">
      <c r="A154" t="s">
        <v>163</v>
      </c>
      <c r="B154" s="1">
        <v>44870</v>
      </c>
      <c r="C154" t="s">
        <v>313</v>
      </c>
      <c r="D154" t="s">
        <v>312</v>
      </c>
      <c r="E154">
        <v>8.4</v>
      </c>
      <c r="F154">
        <v>1712</v>
      </c>
      <c r="G154">
        <v>542</v>
      </c>
      <c r="H154">
        <v>76</v>
      </c>
      <c r="I154">
        <v>42</v>
      </c>
      <c r="J154">
        <v>3.0000000000000001E-3</v>
      </c>
      <c r="K154">
        <v>29</v>
      </c>
      <c r="L154" t="str">
        <f t="shared" si="8"/>
        <v>Safe</v>
      </c>
      <c r="M154" t="str">
        <f t="shared" si="9"/>
        <v>Safe</v>
      </c>
      <c r="N154" t="str">
        <f t="shared" si="10"/>
        <v>Safe</v>
      </c>
      <c r="O154" t="str">
        <f t="shared" si="11"/>
        <v>Safe</v>
      </c>
    </row>
    <row r="155" spans="1:15" x14ac:dyDescent="0.35">
      <c r="A155" t="s">
        <v>164</v>
      </c>
      <c r="B155" s="1">
        <v>44643</v>
      </c>
      <c r="C155" t="s">
        <v>314</v>
      </c>
      <c r="D155" t="s">
        <v>318</v>
      </c>
      <c r="E155">
        <v>7.8</v>
      </c>
      <c r="F155">
        <v>629</v>
      </c>
      <c r="G155">
        <v>238</v>
      </c>
      <c r="H155">
        <v>172</v>
      </c>
      <c r="I155">
        <v>23</v>
      </c>
      <c r="J155">
        <v>1.0999999999999999E-2</v>
      </c>
      <c r="K155">
        <v>18</v>
      </c>
      <c r="L155" t="str">
        <f t="shared" si="8"/>
        <v>Safe</v>
      </c>
      <c r="M155" t="str">
        <f t="shared" si="9"/>
        <v>Safe</v>
      </c>
      <c r="N155" t="str">
        <f t="shared" si="10"/>
        <v>Unsafe</v>
      </c>
      <c r="O155" t="str">
        <f t="shared" si="11"/>
        <v>Contaminated</v>
      </c>
    </row>
    <row r="156" spans="1:15" x14ac:dyDescent="0.35">
      <c r="A156" t="s">
        <v>165</v>
      </c>
      <c r="B156" s="1">
        <v>44708</v>
      </c>
      <c r="C156" t="s">
        <v>314</v>
      </c>
      <c r="D156" t="s">
        <v>318</v>
      </c>
      <c r="E156">
        <v>8.1999999999999993</v>
      </c>
      <c r="F156">
        <v>974</v>
      </c>
      <c r="G156">
        <v>327</v>
      </c>
      <c r="H156">
        <v>64</v>
      </c>
      <c r="I156">
        <v>1</v>
      </c>
      <c r="J156">
        <v>6.0000000000000001E-3</v>
      </c>
      <c r="K156">
        <v>22</v>
      </c>
      <c r="L156" t="str">
        <f t="shared" si="8"/>
        <v>Safe</v>
      </c>
      <c r="M156" t="str">
        <f t="shared" si="9"/>
        <v>Safe</v>
      </c>
      <c r="N156" t="str">
        <f t="shared" si="10"/>
        <v>Safe</v>
      </c>
      <c r="O156" t="str">
        <f t="shared" si="11"/>
        <v>Safe</v>
      </c>
    </row>
    <row r="157" spans="1:15" x14ac:dyDescent="0.35">
      <c r="A157" t="s">
        <v>166</v>
      </c>
      <c r="B157" s="1">
        <v>44697</v>
      </c>
      <c r="C157" t="s">
        <v>314</v>
      </c>
      <c r="D157" t="s">
        <v>312</v>
      </c>
      <c r="E157">
        <v>8.9</v>
      </c>
      <c r="F157">
        <v>1131</v>
      </c>
      <c r="G157">
        <v>215</v>
      </c>
      <c r="H157">
        <v>189</v>
      </c>
      <c r="I157">
        <v>80</v>
      </c>
      <c r="J157">
        <v>1.4999999999999999E-2</v>
      </c>
      <c r="K157">
        <v>13</v>
      </c>
      <c r="L157" t="str">
        <f t="shared" si="8"/>
        <v>Unsafe</v>
      </c>
      <c r="M157" t="str">
        <f t="shared" si="9"/>
        <v>Unsafe</v>
      </c>
      <c r="N157" t="str">
        <f t="shared" si="10"/>
        <v>Unsafe</v>
      </c>
      <c r="O157" t="str">
        <f t="shared" si="11"/>
        <v>Contaminated</v>
      </c>
    </row>
    <row r="158" spans="1:15" x14ac:dyDescent="0.35">
      <c r="A158" t="s">
        <v>167</v>
      </c>
      <c r="B158" s="1">
        <v>44665</v>
      </c>
      <c r="C158" t="s">
        <v>313</v>
      </c>
      <c r="D158" t="s">
        <v>312</v>
      </c>
      <c r="E158">
        <v>6.6</v>
      </c>
      <c r="F158">
        <v>1056</v>
      </c>
      <c r="G158">
        <v>229</v>
      </c>
      <c r="H158">
        <v>190</v>
      </c>
      <c r="I158">
        <v>63</v>
      </c>
      <c r="J158">
        <v>4.0000000000000001E-3</v>
      </c>
      <c r="K158">
        <v>23</v>
      </c>
      <c r="L158" t="str">
        <f t="shared" si="8"/>
        <v>Safe</v>
      </c>
      <c r="M158" t="str">
        <f t="shared" si="9"/>
        <v>Unsafe</v>
      </c>
      <c r="N158" t="str">
        <f t="shared" si="10"/>
        <v>Safe</v>
      </c>
      <c r="O158" t="str">
        <f t="shared" si="11"/>
        <v>Contaminated</v>
      </c>
    </row>
    <row r="159" spans="1:15" x14ac:dyDescent="0.35">
      <c r="A159" t="s">
        <v>168</v>
      </c>
      <c r="B159" s="1">
        <v>44809</v>
      </c>
      <c r="C159" t="s">
        <v>311</v>
      </c>
      <c r="D159" t="s">
        <v>312</v>
      </c>
      <c r="E159">
        <v>6.7</v>
      </c>
      <c r="F159">
        <v>838</v>
      </c>
      <c r="G159">
        <v>1198</v>
      </c>
      <c r="H159">
        <v>163</v>
      </c>
      <c r="I159">
        <v>23</v>
      </c>
      <c r="J159">
        <v>1E-3</v>
      </c>
      <c r="K159">
        <v>17</v>
      </c>
      <c r="L159" t="str">
        <f t="shared" si="8"/>
        <v>Safe</v>
      </c>
      <c r="M159" t="str">
        <f t="shared" si="9"/>
        <v>Safe</v>
      </c>
      <c r="N159" t="str">
        <f t="shared" si="10"/>
        <v>Safe</v>
      </c>
      <c r="O159" t="str">
        <f t="shared" si="11"/>
        <v>Safe</v>
      </c>
    </row>
    <row r="160" spans="1:15" x14ac:dyDescent="0.35">
      <c r="A160" t="s">
        <v>169</v>
      </c>
      <c r="B160" s="1">
        <v>44899</v>
      </c>
      <c r="C160" t="s">
        <v>313</v>
      </c>
      <c r="D160" t="s">
        <v>315</v>
      </c>
      <c r="E160">
        <v>6.2</v>
      </c>
      <c r="F160">
        <v>324</v>
      </c>
      <c r="G160">
        <v>306</v>
      </c>
      <c r="H160">
        <v>110</v>
      </c>
      <c r="I160">
        <v>52</v>
      </c>
      <c r="J160">
        <v>0.02</v>
      </c>
      <c r="K160">
        <v>20</v>
      </c>
      <c r="L160" t="str">
        <f t="shared" si="8"/>
        <v>Unsafe</v>
      </c>
      <c r="M160" t="str">
        <f t="shared" si="9"/>
        <v>Unsafe</v>
      </c>
      <c r="N160" t="str">
        <f t="shared" si="10"/>
        <v>Unsafe</v>
      </c>
      <c r="O160" t="str">
        <f t="shared" si="11"/>
        <v>Contaminated</v>
      </c>
    </row>
    <row r="161" spans="1:15" x14ac:dyDescent="0.35">
      <c r="A161" t="s">
        <v>170</v>
      </c>
      <c r="B161" s="1">
        <v>44920</v>
      </c>
      <c r="C161" t="s">
        <v>314</v>
      </c>
      <c r="D161" t="s">
        <v>315</v>
      </c>
      <c r="E161">
        <v>8.1</v>
      </c>
      <c r="F161">
        <v>761</v>
      </c>
      <c r="G161">
        <v>1146</v>
      </c>
      <c r="H161">
        <v>62</v>
      </c>
      <c r="I161">
        <v>51</v>
      </c>
      <c r="J161">
        <v>1.0999999999999999E-2</v>
      </c>
      <c r="K161">
        <v>11</v>
      </c>
      <c r="L161" t="str">
        <f t="shared" si="8"/>
        <v>Safe</v>
      </c>
      <c r="M161" t="str">
        <f t="shared" si="9"/>
        <v>Unsafe</v>
      </c>
      <c r="N161" t="str">
        <f t="shared" si="10"/>
        <v>Unsafe</v>
      </c>
      <c r="O161" t="str">
        <f t="shared" si="11"/>
        <v>Contaminated</v>
      </c>
    </row>
    <row r="162" spans="1:15" x14ac:dyDescent="0.35">
      <c r="A162" t="s">
        <v>171</v>
      </c>
      <c r="B162" s="1">
        <v>44823</v>
      </c>
      <c r="C162" t="s">
        <v>314</v>
      </c>
      <c r="D162" t="s">
        <v>312</v>
      </c>
      <c r="E162">
        <v>6.2</v>
      </c>
      <c r="F162">
        <v>959</v>
      </c>
      <c r="G162">
        <v>1148</v>
      </c>
      <c r="H162">
        <v>248</v>
      </c>
      <c r="I162">
        <v>26</v>
      </c>
      <c r="J162">
        <v>5.0000000000000001E-3</v>
      </c>
      <c r="K162">
        <v>13</v>
      </c>
      <c r="L162" t="str">
        <f t="shared" si="8"/>
        <v>Unsafe</v>
      </c>
      <c r="M162" t="str">
        <f t="shared" si="9"/>
        <v>Safe</v>
      </c>
      <c r="N162" t="str">
        <f t="shared" si="10"/>
        <v>Safe</v>
      </c>
      <c r="O162" t="str">
        <f t="shared" si="11"/>
        <v>Contaminated</v>
      </c>
    </row>
    <row r="163" spans="1:15" x14ac:dyDescent="0.35">
      <c r="A163" t="s">
        <v>172</v>
      </c>
      <c r="B163" s="1">
        <v>44811</v>
      </c>
      <c r="C163" t="s">
        <v>311</v>
      </c>
      <c r="D163" t="s">
        <v>312</v>
      </c>
      <c r="E163">
        <v>8.5</v>
      </c>
      <c r="F163">
        <v>1596</v>
      </c>
      <c r="G163">
        <v>177</v>
      </c>
      <c r="H163">
        <v>125</v>
      </c>
      <c r="I163">
        <v>74</v>
      </c>
      <c r="J163">
        <v>4.0000000000000001E-3</v>
      </c>
      <c r="K163">
        <v>20</v>
      </c>
      <c r="L163" t="str">
        <f t="shared" si="8"/>
        <v>Safe</v>
      </c>
      <c r="M163" t="str">
        <f t="shared" si="9"/>
        <v>Unsafe</v>
      </c>
      <c r="N163" t="str">
        <f t="shared" si="10"/>
        <v>Safe</v>
      </c>
      <c r="O163" t="str">
        <f t="shared" si="11"/>
        <v>Contaminated</v>
      </c>
    </row>
    <row r="164" spans="1:15" x14ac:dyDescent="0.35">
      <c r="A164" t="s">
        <v>173</v>
      </c>
      <c r="B164" s="1">
        <v>44861</v>
      </c>
      <c r="C164" t="s">
        <v>311</v>
      </c>
      <c r="D164" t="s">
        <v>315</v>
      </c>
      <c r="E164">
        <v>7.2</v>
      </c>
      <c r="F164">
        <v>499</v>
      </c>
      <c r="G164">
        <v>988</v>
      </c>
      <c r="H164">
        <v>145</v>
      </c>
      <c r="I164">
        <v>54</v>
      </c>
      <c r="J164">
        <v>1.9E-2</v>
      </c>
      <c r="K164">
        <v>21</v>
      </c>
      <c r="L164" t="str">
        <f t="shared" si="8"/>
        <v>Safe</v>
      </c>
      <c r="M164" t="str">
        <f t="shared" si="9"/>
        <v>Unsafe</v>
      </c>
      <c r="N164" t="str">
        <f t="shared" si="10"/>
        <v>Unsafe</v>
      </c>
      <c r="O164" t="str">
        <f t="shared" si="11"/>
        <v>Contaminated</v>
      </c>
    </row>
    <row r="165" spans="1:15" x14ac:dyDescent="0.35">
      <c r="A165" t="s">
        <v>174</v>
      </c>
      <c r="B165" s="1">
        <v>44850</v>
      </c>
      <c r="C165" t="s">
        <v>311</v>
      </c>
      <c r="D165" t="s">
        <v>315</v>
      </c>
      <c r="E165">
        <v>6</v>
      </c>
      <c r="F165">
        <v>970</v>
      </c>
      <c r="G165">
        <v>1006</v>
      </c>
      <c r="H165">
        <v>160</v>
      </c>
      <c r="I165">
        <v>2</v>
      </c>
      <c r="J165">
        <v>0</v>
      </c>
      <c r="K165">
        <v>20</v>
      </c>
      <c r="L165" t="str">
        <f t="shared" si="8"/>
        <v>Unsafe</v>
      </c>
      <c r="M165" t="str">
        <f t="shared" si="9"/>
        <v>Safe</v>
      </c>
      <c r="N165" t="str">
        <f t="shared" si="10"/>
        <v>Safe</v>
      </c>
      <c r="O165" t="str">
        <f t="shared" si="11"/>
        <v>Contaminated</v>
      </c>
    </row>
    <row r="166" spans="1:15" x14ac:dyDescent="0.35">
      <c r="A166" t="s">
        <v>175</v>
      </c>
      <c r="B166" s="1">
        <v>44629</v>
      </c>
      <c r="C166" t="s">
        <v>316</v>
      </c>
      <c r="D166" t="s">
        <v>318</v>
      </c>
      <c r="E166">
        <v>8.1</v>
      </c>
      <c r="F166">
        <v>1013</v>
      </c>
      <c r="G166">
        <v>970</v>
      </c>
      <c r="H166">
        <v>245</v>
      </c>
      <c r="I166">
        <v>14</v>
      </c>
      <c r="J166">
        <v>1.0999999999999999E-2</v>
      </c>
      <c r="K166">
        <v>19</v>
      </c>
      <c r="L166" t="str">
        <f t="shared" si="8"/>
        <v>Safe</v>
      </c>
      <c r="M166" t="str">
        <f t="shared" si="9"/>
        <v>Safe</v>
      </c>
      <c r="N166" t="str">
        <f t="shared" si="10"/>
        <v>Unsafe</v>
      </c>
      <c r="O166" t="str">
        <f t="shared" si="11"/>
        <v>Contaminated</v>
      </c>
    </row>
    <row r="167" spans="1:15" x14ac:dyDescent="0.35">
      <c r="A167" t="s">
        <v>176</v>
      </c>
      <c r="B167" s="1">
        <v>44832</v>
      </c>
      <c r="C167" t="s">
        <v>311</v>
      </c>
      <c r="D167" t="s">
        <v>312</v>
      </c>
      <c r="E167">
        <v>7.2</v>
      </c>
      <c r="F167">
        <v>1170</v>
      </c>
      <c r="G167">
        <v>361</v>
      </c>
      <c r="H167">
        <v>361</v>
      </c>
      <c r="I167">
        <v>6</v>
      </c>
      <c r="J167">
        <v>1.6E-2</v>
      </c>
      <c r="K167">
        <v>21</v>
      </c>
      <c r="L167" t="str">
        <f t="shared" si="8"/>
        <v>Safe</v>
      </c>
      <c r="M167" t="str">
        <f t="shared" si="9"/>
        <v>Safe</v>
      </c>
      <c r="N167" t="str">
        <f t="shared" si="10"/>
        <v>Unsafe</v>
      </c>
      <c r="O167" t="str">
        <f t="shared" si="11"/>
        <v>Contaminated</v>
      </c>
    </row>
    <row r="168" spans="1:15" x14ac:dyDescent="0.35">
      <c r="A168" t="s">
        <v>177</v>
      </c>
      <c r="B168" s="1">
        <v>44566</v>
      </c>
      <c r="C168" t="s">
        <v>317</v>
      </c>
      <c r="D168" t="s">
        <v>318</v>
      </c>
      <c r="E168">
        <v>7</v>
      </c>
      <c r="F168">
        <v>1733</v>
      </c>
      <c r="G168">
        <v>127</v>
      </c>
      <c r="H168">
        <v>340</v>
      </c>
      <c r="I168">
        <v>36</v>
      </c>
      <c r="J168">
        <v>3.0000000000000001E-3</v>
      </c>
      <c r="K168">
        <v>16</v>
      </c>
      <c r="L168" t="str">
        <f t="shared" si="8"/>
        <v>Safe</v>
      </c>
      <c r="M168" t="str">
        <f t="shared" si="9"/>
        <v>Safe</v>
      </c>
      <c r="N168" t="str">
        <f t="shared" si="10"/>
        <v>Safe</v>
      </c>
      <c r="O168" t="str">
        <f t="shared" si="11"/>
        <v>Safe</v>
      </c>
    </row>
    <row r="169" spans="1:15" x14ac:dyDescent="0.35">
      <c r="A169" t="s">
        <v>178</v>
      </c>
      <c r="B169" s="1">
        <v>44904</v>
      </c>
      <c r="C169" t="s">
        <v>313</v>
      </c>
      <c r="D169" t="s">
        <v>315</v>
      </c>
      <c r="E169">
        <v>8.1999999999999993</v>
      </c>
      <c r="F169">
        <v>1228</v>
      </c>
      <c r="G169">
        <v>511</v>
      </c>
      <c r="H169">
        <v>329</v>
      </c>
      <c r="I169">
        <v>25</v>
      </c>
      <c r="J169">
        <v>4.0000000000000001E-3</v>
      </c>
      <c r="K169">
        <v>31</v>
      </c>
      <c r="L169" t="str">
        <f t="shared" si="8"/>
        <v>Safe</v>
      </c>
      <c r="M169" t="str">
        <f t="shared" si="9"/>
        <v>Safe</v>
      </c>
      <c r="N169" t="str">
        <f t="shared" si="10"/>
        <v>Safe</v>
      </c>
      <c r="O169" t="str">
        <f t="shared" si="11"/>
        <v>Safe</v>
      </c>
    </row>
    <row r="170" spans="1:15" x14ac:dyDescent="0.35">
      <c r="A170" t="s">
        <v>179</v>
      </c>
      <c r="B170" s="1">
        <v>44610</v>
      </c>
      <c r="C170" t="s">
        <v>311</v>
      </c>
      <c r="D170" t="s">
        <v>318</v>
      </c>
      <c r="E170">
        <v>6.4</v>
      </c>
      <c r="F170">
        <v>443</v>
      </c>
      <c r="G170">
        <v>351</v>
      </c>
      <c r="H170">
        <v>242</v>
      </c>
      <c r="I170">
        <v>73</v>
      </c>
      <c r="J170">
        <v>1.7999999999999999E-2</v>
      </c>
      <c r="K170">
        <v>34</v>
      </c>
      <c r="L170" t="str">
        <f t="shared" si="8"/>
        <v>Unsafe</v>
      </c>
      <c r="M170" t="str">
        <f t="shared" si="9"/>
        <v>Unsafe</v>
      </c>
      <c r="N170" t="str">
        <f t="shared" si="10"/>
        <v>Unsafe</v>
      </c>
      <c r="O170" t="str">
        <f t="shared" si="11"/>
        <v>Contaminated</v>
      </c>
    </row>
    <row r="171" spans="1:15" x14ac:dyDescent="0.35">
      <c r="A171" t="s">
        <v>180</v>
      </c>
      <c r="B171" s="1">
        <v>44673</v>
      </c>
      <c r="C171" t="s">
        <v>317</v>
      </c>
      <c r="D171" t="s">
        <v>318</v>
      </c>
      <c r="E171">
        <v>6.5</v>
      </c>
      <c r="F171">
        <v>1695</v>
      </c>
      <c r="G171">
        <v>564</v>
      </c>
      <c r="H171">
        <v>325</v>
      </c>
      <c r="I171">
        <v>74</v>
      </c>
      <c r="J171">
        <v>1.6E-2</v>
      </c>
      <c r="K171">
        <v>17</v>
      </c>
      <c r="L171" t="str">
        <f t="shared" si="8"/>
        <v>Safe</v>
      </c>
      <c r="M171" t="str">
        <f t="shared" si="9"/>
        <v>Unsafe</v>
      </c>
      <c r="N171" t="str">
        <f t="shared" si="10"/>
        <v>Unsafe</v>
      </c>
      <c r="O171" t="str">
        <f t="shared" si="11"/>
        <v>Contaminated</v>
      </c>
    </row>
    <row r="172" spans="1:15" x14ac:dyDescent="0.35">
      <c r="A172" t="s">
        <v>181</v>
      </c>
      <c r="B172" s="1">
        <v>44728</v>
      </c>
      <c r="C172" t="s">
        <v>317</v>
      </c>
      <c r="D172" t="s">
        <v>315</v>
      </c>
      <c r="E172">
        <v>6.3</v>
      </c>
      <c r="F172">
        <v>592</v>
      </c>
      <c r="G172">
        <v>1057</v>
      </c>
      <c r="H172">
        <v>136</v>
      </c>
      <c r="I172">
        <v>20</v>
      </c>
      <c r="J172">
        <v>1.9E-2</v>
      </c>
      <c r="K172">
        <v>21</v>
      </c>
      <c r="L172" t="str">
        <f t="shared" si="8"/>
        <v>Unsafe</v>
      </c>
      <c r="M172" t="str">
        <f t="shared" si="9"/>
        <v>Safe</v>
      </c>
      <c r="N172" t="str">
        <f t="shared" si="10"/>
        <v>Unsafe</v>
      </c>
      <c r="O172" t="str">
        <f t="shared" si="11"/>
        <v>Contaminated</v>
      </c>
    </row>
    <row r="173" spans="1:15" x14ac:dyDescent="0.35">
      <c r="A173" t="s">
        <v>182</v>
      </c>
      <c r="B173" s="1">
        <v>44764</v>
      </c>
      <c r="C173" t="s">
        <v>313</v>
      </c>
      <c r="D173" t="s">
        <v>315</v>
      </c>
      <c r="E173">
        <v>9</v>
      </c>
      <c r="F173">
        <v>1516</v>
      </c>
      <c r="G173">
        <v>759</v>
      </c>
      <c r="H173">
        <v>180</v>
      </c>
      <c r="I173">
        <v>60</v>
      </c>
      <c r="J173">
        <v>1.0999999999999999E-2</v>
      </c>
      <c r="K173">
        <v>34</v>
      </c>
      <c r="L173" t="str">
        <f t="shared" si="8"/>
        <v>Unsafe</v>
      </c>
      <c r="M173" t="str">
        <f t="shared" si="9"/>
        <v>Unsafe</v>
      </c>
      <c r="N173" t="str">
        <f t="shared" si="10"/>
        <v>Unsafe</v>
      </c>
      <c r="O173" t="str">
        <f t="shared" si="11"/>
        <v>Contaminated</v>
      </c>
    </row>
    <row r="174" spans="1:15" x14ac:dyDescent="0.35">
      <c r="A174" t="s">
        <v>183</v>
      </c>
      <c r="B174" s="1">
        <v>44851</v>
      </c>
      <c r="C174" t="s">
        <v>311</v>
      </c>
      <c r="D174" t="s">
        <v>315</v>
      </c>
      <c r="E174">
        <v>7.8</v>
      </c>
      <c r="F174">
        <v>1763</v>
      </c>
      <c r="G174">
        <v>372</v>
      </c>
      <c r="H174">
        <v>173</v>
      </c>
      <c r="I174">
        <v>72</v>
      </c>
      <c r="J174">
        <v>0.02</v>
      </c>
      <c r="K174">
        <v>24</v>
      </c>
      <c r="L174" t="str">
        <f t="shared" si="8"/>
        <v>Safe</v>
      </c>
      <c r="M174" t="str">
        <f t="shared" si="9"/>
        <v>Unsafe</v>
      </c>
      <c r="N174" t="str">
        <f t="shared" si="10"/>
        <v>Unsafe</v>
      </c>
      <c r="O174" t="str">
        <f t="shared" si="11"/>
        <v>Contaminated</v>
      </c>
    </row>
    <row r="175" spans="1:15" x14ac:dyDescent="0.35">
      <c r="A175" t="s">
        <v>184</v>
      </c>
      <c r="B175" s="1">
        <v>44690</v>
      </c>
      <c r="C175" t="s">
        <v>313</v>
      </c>
      <c r="D175" t="s">
        <v>315</v>
      </c>
      <c r="E175">
        <v>7.6</v>
      </c>
      <c r="F175">
        <v>716</v>
      </c>
      <c r="G175">
        <v>255</v>
      </c>
      <c r="H175">
        <v>329</v>
      </c>
      <c r="I175">
        <v>4</v>
      </c>
      <c r="J175">
        <v>6.0000000000000001E-3</v>
      </c>
      <c r="K175">
        <v>15</v>
      </c>
      <c r="L175" t="str">
        <f t="shared" si="8"/>
        <v>Safe</v>
      </c>
      <c r="M175" t="str">
        <f t="shared" si="9"/>
        <v>Safe</v>
      </c>
      <c r="N175" t="str">
        <f t="shared" si="10"/>
        <v>Safe</v>
      </c>
      <c r="O175" t="str">
        <f t="shared" si="11"/>
        <v>Safe</v>
      </c>
    </row>
    <row r="176" spans="1:15" x14ac:dyDescent="0.35">
      <c r="A176" t="s">
        <v>185</v>
      </c>
      <c r="B176" s="1">
        <v>44729</v>
      </c>
      <c r="C176" t="s">
        <v>313</v>
      </c>
      <c r="D176" t="s">
        <v>315</v>
      </c>
      <c r="E176">
        <v>6.5</v>
      </c>
      <c r="F176">
        <v>388</v>
      </c>
      <c r="G176">
        <v>920</v>
      </c>
      <c r="H176">
        <v>111</v>
      </c>
      <c r="I176">
        <v>56</v>
      </c>
      <c r="J176">
        <v>1.4E-2</v>
      </c>
      <c r="K176">
        <v>24</v>
      </c>
      <c r="L176" t="str">
        <f t="shared" si="8"/>
        <v>Safe</v>
      </c>
      <c r="M176" t="str">
        <f t="shared" si="9"/>
        <v>Unsafe</v>
      </c>
      <c r="N176" t="str">
        <f t="shared" si="10"/>
        <v>Unsafe</v>
      </c>
      <c r="O176" t="str">
        <f t="shared" si="11"/>
        <v>Contaminated</v>
      </c>
    </row>
    <row r="177" spans="1:15" x14ac:dyDescent="0.35">
      <c r="A177" t="s">
        <v>186</v>
      </c>
      <c r="B177" s="1">
        <v>44794</v>
      </c>
      <c r="C177" t="s">
        <v>317</v>
      </c>
      <c r="D177" t="s">
        <v>318</v>
      </c>
      <c r="E177">
        <v>7.3</v>
      </c>
      <c r="F177">
        <v>1255</v>
      </c>
      <c r="G177">
        <v>120</v>
      </c>
      <c r="H177">
        <v>342</v>
      </c>
      <c r="I177">
        <v>28</v>
      </c>
      <c r="J177">
        <v>8.9999999999999993E-3</v>
      </c>
      <c r="K177">
        <v>25</v>
      </c>
      <c r="L177" t="str">
        <f t="shared" si="8"/>
        <v>Safe</v>
      </c>
      <c r="M177" t="str">
        <f t="shared" si="9"/>
        <v>Safe</v>
      </c>
      <c r="N177" t="str">
        <f t="shared" si="10"/>
        <v>Safe</v>
      </c>
      <c r="O177" t="str">
        <f t="shared" si="11"/>
        <v>Safe</v>
      </c>
    </row>
    <row r="178" spans="1:15" x14ac:dyDescent="0.35">
      <c r="A178" t="s">
        <v>187</v>
      </c>
      <c r="B178" s="1">
        <v>44623</v>
      </c>
      <c r="C178" t="s">
        <v>316</v>
      </c>
      <c r="D178" t="s">
        <v>318</v>
      </c>
      <c r="E178">
        <v>8.8000000000000007</v>
      </c>
      <c r="F178">
        <v>1064</v>
      </c>
      <c r="G178">
        <v>248</v>
      </c>
      <c r="H178">
        <v>208</v>
      </c>
      <c r="I178">
        <v>34</v>
      </c>
      <c r="J178">
        <v>0.01</v>
      </c>
      <c r="K178">
        <v>23</v>
      </c>
      <c r="L178" t="str">
        <f t="shared" si="8"/>
        <v>Unsafe</v>
      </c>
      <c r="M178" t="str">
        <f t="shared" si="9"/>
        <v>Safe</v>
      </c>
      <c r="N178" t="str">
        <f t="shared" si="10"/>
        <v>Safe</v>
      </c>
      <c r="O178" t="str">
        <f t="shared" si="11"/>
        <v>Contaminated</v>
      </c>
    </row>
    <row r="179" spans="1:15" x14ac:dyDescent="0.35">
      <c r="A179" t="s">
        <v>188</v>
      </c>
      <c r="B179" s="1">
        <v>44608</v>
      </c>
      <c r="C179" t="s">
        <v>317</v>
      </c>
      <c r="D179" t="s">
        <v>312</v>
      </c>
      <c r="E179">
        <v>6.7</v>
      </c>
      <c r="F179">
        <v>1497</v>
      </c>
      <c r="G179">
        <v>743</v>
      </c>
      <c r="H179">
        <v>336</v>
      </c>
      <c r="I179">
        <v>72</v>
      </c>
      <c r="J179">
        <v>8.0000000000000002E-3</v>
      </c>
      <c r="K179">
        <v>15</v>
      </c>
      <c r="L179" t="str">
        <f t="shared" si="8"/>
        <v>Safe</v>
      </c>
      <c r="M179" t="str">
        <f t="shared" si="9"/>
        <v>Unsafe</v>
      </c>
      <c r="N179" t="str">
        <f t="shared" si="10"/>
        <v>Safe</v>
      </c>
      <c r="O179" t="str">
        <f t="shared" si="11"/>
        <v>Contaminated</v>
      </c>
    </row>
    <row r="180" spans="1:15" x14ac:dyDescent="0.35">
      <c r="A180" t="s">
        <v>189</v>
      </c>
      <c r="B180" s="1">
        <v>44594</v>
      </c>
      <c r="C180" t="s">
        <v>317</v>
      </c>
      <c r="D180" t="s">
        <v>315</v>
      </c>
      <c r="E180">
        <v>7.9</v>
      </c>
      <c r="F180">
        <v>1754</v>
      </c>
      <c r="G180">
        <v>212</v>
      </c>
      <c r="H180">
        <v>107</v>
      </c>
      <c r="I180">
        <v>69</v>
      </c>
      <c r="J180">
        <v>2E-3</v>
      </c>
      <c r="K180">
        <v>11</v>
      </c>
      <c r="L180" t="str">
        <f t="shared" si="8"/>
        <v>Safe</v>
      </c>
      <c r="M180" t="str">
        <f t="shared" si="9"/>
        <v>Unsafe</v>
      </c>
      <c r="N180" t="str">
        <f t="shared" si="10"/>
        <v>Safe</v>
      </c>
      <c r="O180" t="str">
        <f t="shared" si="11"/>
        <v>Contaminated</v>
      </c>
    </row>
    <row r="181" spans="1:15" x14ac:dyDescent="0.35">
      <c r="A181" t="s">
        <v>190</v>
      </c>
      <c r="B181" s="1">
        <v>44918</v>
      </c>
      <c r="C181" t="s">
        <v>311</v>
      </c>
      <c r="D181" t="s">
        <v>312</v>
      </c>
      <c r="E181">
        <v>7.6</v>
      </c>
      <c r="F181">
        <v>1285</v>
      </c>
      <c r="G181">
        <v>1157</v>
      </c>
      <c r="H181">
        <v>269</v>
      </c>
      <c r="I181">
        <v>29</v>
      </c>
      <c r="J181">
        <v>0</v>
      </c>
      <c r="K181">
        <v>15</v>
      </c>
      <c r="L181" t="str">
        <f t="shared" si="8"/>
        <v>Safe</v>
      </c>
      <c r="M181" t="str">
        <f t="shared" si="9"/>
        <v>Safe</v>
      </c>
      <c r="N181" t="str">
        <f t="shared" si="10"/>
        <v>Safe</v>
      </c>
      <c r="O181" t="str">
        <f t="shared" si="11"/>
        <v>Safe</v>
      </c>
    </row>
    <row r="182" spans="1:15" x14ac:dyDescent="0.35">
      <c r="A182" t="s">
        <v>191</v>
      </c>
      <c r="B182" s="1">
        <v>44764</v>
      </c>
      <c r="C182" t="s">
        <v>313</v>
      </c>
      <c r="D182" t="s">
        <v>318</v>
      </c>
      <c r="E182">
        <v>8.9</v>
      </c>
      <c r="F182">
        <v>920</v>
      </c>
      <c r="G182">
        <v>791</v>
      </c>
      <c r="H182">
        <v>131</v>
      </c>
      <c r="I182">
        <v>0</v>
      </c>
      <c r="J182">
        <v>1.2999999999999999E-2</v>
      </c>
      <c r="K182">
        <v>27</v>
      </c>
      <c r="L182" t="str">
        <f t="shared" si="8"/>
        <v>Unsafe</v>
      </c>
      <c r="M182" t="str">
        <f t="shared" si="9"/>
        <v>Safe</v>
      </c>
      <c r="N182" t="str">
        <f t="shared" si="10"/>
        <v>Unsafe</v>
      </c>
      <c r="O182" t="str">
        <f t="shared" si="11"/>
        <v>Contaminated</v>
      </c>
    </row>
    <row r="183" spans="1:15" x14ac:dyDescent="0.35">
      <c r="A183" t="s">
        <v>192</v>
      </c>
      <c r="B183" s="1">
        <v>44890</v>
      </c>
      <c r="C183" t="s">
        <v>316</v>
      </c>
      <c r="D183" t="s">
        <v>315</v>
      </c>
      <c r="E183">
        <v>7</v>
      </c>
      <c r="F183">
        <v>1661</v>
      </c>
      <c r="G183">
        <v>1188</v>
      </c>
      <c r="H183">
        <v>237</v>
      </c>
      <c r="I183">
        <v>32</v>
      </c>
      <c r="J183">
        <v>3.0000000000000001E-3</v>
      </c>
      <c r="K183">
        <v>27</v>
      </c>
      <c r="L183" t="str">
        <f t="shared" si="8"/>
        <v>Safe</v>
      </c>
      <c r="M183" t="str">
        <f t="shared" si="9"/>
        <v>Safe</v>
      </c>
      <c r="N183" t="str">
        <f t="shared" si="10"/>
        <v>Safe</v>
      </c>
      <c r="O183" t="str">
        <f t="shared" si="11"/>
        <v>Safe</v>
      </c>
    </row>
    <row r="184" spans="1:15" x14ac:dyDescent="0.35">
      <c r="A184" t="s">
        <v>193</v>
      </c>
      <c r="B184" s="1">
        <v>44566</v>
      </c>
      <c r="C184" t="s">
        <v>313</v>
      </c>
      <c r="D184" t="s">
        <v>318</v>
      </c>
      <c r="E184">
        <v>8.9</v>
      </c>
      <c r="F184">
        <v>451</v>
      </c>
      <c r="G184">
        <v>1023</v>
      </c>
      <c r="H184">
        <v>390</v>
      </c>
      <c r="I184">
        <v>15</v>
      </c>
      <c r="J184">
        <v>7.0000000000000001E-3</v>
      </c>
      <c r="K184">
        <v>10</v>
      </c>
      <c r="L184" t="str">
        <f t="shared" si="8"/>
        <v>Unsafe</v>
      </c>
      <c r="M184" t="str">
        <f t="shared" si="9"/>
        <v>Safe</v>
      </c>
      <c r="N184" t="str">
        <f t="shared" si="10"/>
        <v>Safe</v>
      </c>
      <c r="O184" t="str">
        <f t="shared" si="11"/>
        <v>Contaminated</v>
      </c>
    </row>
    <row r="185" spans="1:15" x14ac:dyDescent="0.35">
      <c r="A185" t="s">
        <v>194</v>
      </c>
      <c r="B185" s="1">
        <v>44777</v>
      </c>
      <c r="C185" t="s">
        <v>316</v>
      </c>
      <c r="D185" t="s">
        <v>312</v>
      </c>
      <c r="E185">
        <v>6</v>
      </c>
      <c r="F185">
        <v>930</v>
      </c>
      <c r="G185">
        <v>653</v>
      </c>
      <c r="H185">
        <v>194</v>
      </c>
      <c r="I185">
        <v>51</v>
      </c>
      <c r="J185">
        <v>3.0000000000000001E-3</v>
      </c>
      <c r="K185">
        <v>26</v>
      </c>
      <c r="L185" t="str">
        <f t="shared" si="8"/>
        <v>Unsafe</v>
      </c>
      <c r="M185" t="str">
        <f t="shared" si="9"/>
        <v>Unsafe</v>
      </c>
      <c r="N185" t="str">
        <f t="shared" si="10"/>
        <v>Safe</v>
      </c>
      <c r="O185" t="str">
        <f t="shared" si="11"/>
        <v>Contaminated</v>
      </c>
    </row>
    <row r="186" spans="1:15" x14ac:dyDescent="0.35">
      <c r="A186" t="s">
        <v>195</v>
      </c>
      <c r="B186" s="1">
        <v>44672</v>
      </c>
      <c r="C186" t="s">
        <v>311</v>
      </c>
      <c r="D186" t="s">
        <v>312</v>
      </c>
      <c r="E186">
        <v>8.4</v>
      </c>
      <c r="F186">
        <v>384</v>
      </c>
      <c r="G186">
        <v>821</v>
      </c>
      <c r="H186">
        <v>263</v>
      </c>
      <c r="I186">
        <v>13</v>
      </c>
      <c r="J186">
        <v>5.0000000000000001E-3</v>
      </c>
      <c r="K186">
        <v>10</v>
      </c>
      <c r="L186" t="str">
        <f t="shared" si="8"/>
        <v>Safe</v>
      </c>
      <c r="M186" t="str">
        <f t="shared" si="9"/>
        <v>Safe</v>
      </c>
      <c r="N186" t="str">
        <f t="shared" si="10"/>
        <v>Safe</v>
      </c>
      <c r="O186" t="str">
        <f t="shared" si="11"/>
        <v>Safe</v>
      </c>
    </row>
    <row r="187" spans="1:15" x14ac:dyDescent="0.35">
      <c r="A187" t="s">
        <v>196</v>
      </c>
      <c r="B187" s="1">
        <v>44700</v>
      </c>
      <c r="C187" t="s">
        <v>314</v>
      </c>
      <c r="D187" t="s">
        <v>312</v>
      </c>
      <c r="E187">
        <v>6.1</v>
      </c>
      <c r="F187">
        <v>1351</v>
      </c>
      <c r="G187">
        <v>693</v>
      </c>
      <c r="H187">
        <v>117</v>
      </c>
      <c r="I187">
        <v>74</v>
      </c>
      <c r="J187">
        <v>1.0999999999999999E-2</v>
      </c>
      <c r="K187">
        <v>17</v>
      </c>
      <c r="L187" t="str">
        <f t="shared" si="8"/>
        <v>Unsafe</v>
      </c>
      <c r="M187" t="str">
        <f t="shared" si="9"/>
        <v>Unsafe</v>
      </c>
      <c r="N187" t="str">
        <f t="shared" si="10"/>
        <v>Unsafe</v>
      </c>
      <c r="O187" t="str">
        <f t="shared" si="11"/>
        <v>Contaminated</v>
      </c>
    </row>
    <row r="188" spans="1:15" x14ac:dyDescent="0.35">
      <c r="A188" t="s">
        <v>197</v>
      </c>
      <c r="B188" s="1">
        <v>44828</v>
      </c>
      <c r="C188" t="s">
        <v>313</v>
      </c>
      <c r="D188" t="s">
        <v>315</v>
      </c>
      <c r="E188">
        <v>8.1</v>
      </c>
      <c r="F188">
        <v>796</v>
      </c>
      <c r="G188">
        <v>189</v>
      </c>
      <c r="H188">
        <v>103</v>
      </c>
      <c r="I188">
        <v>16</v>
      </c>
      <c r="J188">
        <v>1.6E-2</v>
      </c>
      <c r="K188">
        <v>34</v>
      </c>
      <c r="L188" t="str">
        <f t="shared" si="8"/>
        <v>Safe</v>
      </c>
      <c r="M188" t="str">
        <f t="shared" si="9"/>
        <v>Safe</v>
      </c>
      <c r="N188" t="str">
        <f t="shared" si="10"/>
        <v>Unsafe</v>
      </c>
      <c r="O188" t="str">
        <f t="shared" si="11"/>
        <v>Contaminated</v>
      </c>
    </row>
    <row r="189" spans="1:15" x14ac:dyDescent="0.35">
      <c r="A189" t="s">
        <v>198</v>
      </c>
      <c r="B189" s="1">
        <v>44783</v>
      </c>
      <c r="C189" t="s">
        <v>311</v>
      </c>
      <c r="D189" t="s">
        <v>315</v>
      </c>
      <c r="E189">
        <v>7.6</v>
      </c>
      <c r="F189">
        <v>623</v>
      </c>
      <c r="G189">
        <v>241</v>
      </c>
      <c r="H189">
        <v>113</v>
      </c>
      <c r="I189">
        <v>45</v>
      </c>
      <c r="J189">
        <v>1.2999999999999999E-2</v>
      </c>
      <c r="K189">
        <v>34</v>
      </c>
      <c r="L189" t="str">
        <f t="shared" si="8"/>
        <v>Safe</v>
      </c>
      <c r="M189" t="str">
        <f t="shared" si="9"/>
        <v>Safe</v>
      </c>
      <c r="N189" t="str">
        <f t="shared" si="10"/>
        <v>Unsafe</v>
      </c>
      <c r="O189" t="str">
        <f t="shared" si="11"/>
        <v>Contaminated</v>
      </c>
    </row>
    <row r="190" spans="1:15" x14ac:dyDescent="0.35">
      <c r="A190" t="s">
        <v>199</v>
      </c>
      <c r="B190" s="1">
        <v>44841</v>
      </c>
      <c r="C190" t="s">
        <v>316</v>
      </c>
      <c r="D190" t="s">
        <v>312</v>
      </c>
      <c r="E190">
        <v>8.8000000000000007</v>
      </c>
      <c r="F190">
        <v>710</v>
      </c>
      <c r="G190">
        <v>606</v>
      </c>
      <c r="H190">
        <v>95</v>
      </c>
      <c r="I190">
        <v>32</v>
      </c>
      <c r="J190">
        <v>1.6E-2</v>
      </c>
      <c r="K190">
        <v>23</v>
      </c>
      <c r="L190" t="str">
        <f t="shared" si="8"/>
        <v>Unsafe</v>
      </c>
      <c r="M190" t="str">
        <f t="shared" si="9"/>
        <v>Safe</v>
      </c>
      <c r="N190" t="str">
        <f t="shared" si="10"/>
        <v>Unsafe</v>
      </c>
      <c r="O190" t="str">
        <f t="shared" si="11"/>
        <v>Contaminated</v>
      </c>
    </row>
    <row r="191" spans="1:15" x14ac:dyDescent="0.35">
      <c r="A191" t="s">
        <v>200</v>
      </c>
      <c r="B191" s="1">
        <v>44566</v>
      </c>
      <c r="C191" t="s">
        <v>311</v>
      </c>
      <c r="D191" t="s">
        <v>312</v>
      </c>
      <c r="E191">
        <v>8</v>
      </c>
      <c r="F191">
        <v>1131</v>
      </c>
      <c r="G191">
        <v>703</v>
      </c>
      <c r="H191">
        <v>375</v>
      </c>
      <c r="I191">
        <v>10</v>
      </c>
      <c r="J191">
        <v>2E-3</v>
      </c>
      <c r="K191">
        <v>35</v>
      </c>
      <c r="L191" t="str">
        <f t="shared" si="8"/>
        <v>Safe</v>
      </c>
      <c r="M191" t="str">
        <f t="shared" si="9"/>
        <v>Safe</v>
      </c>
      <c r="N191" t="str">
        <f t="shared" si="10"/>
        <v>Safe</v>
      </c>
      <c r="O191" t="str">
        <f t="shared" si="11"/>
        <v>Safe</v>
      </c>
    </row>
    <row r="192" spans="1:15" x14ac:dyDescent="0.35">
      <c r="A192" t="s">
        <v>201</v>
      </c>
      <c r="B192" s="1">
        <v>44675</v>
      </c>
      <c r="C192" t="s">
        <v>317</v>
      </c>
      <c r="D192" t="s">
        <v>315</v>
      </c>
      <c r="E192">
        <v>7.5</v>
      </c>
      <c r="F192">
        <v>707</v>
      </c>
      <c r="G192">
        <v>788</v>
      </c>
      <c r="H192">
        <v>87</v>
      </c>
      <c r="I192">
        <v>63</v>
      </c>
      <c r="J192">
        <v>1.6E-2</v>
      </c>
      <c r="K192">
        <v>28</v>
      </c>
      <c r="L192" t="str">
        <f t="shared" si="8"/>
        <v>Safe</v>
      </c>
      <c r="M192" t="str">
        <f t="shared" si="9"/>
        <v>Unsafe</v>
      </c>
      <c r="N192" t="str">
        <f t="shared" si="10"/>
        <v>Unsafe</v>
      </c>
      <c r="O192" t="str">
        <f t="shared" si="11"/>
        <v>Contaminated</v>
      </c>
    </row>
    <row r="193" spans="1:15" x14ac:dyDescent="0.35">
      <c r="A193" t="s">
        <v>202</v>
      </c>
      <c r="B193" s="1">
        <v>44738</v>
      </c>
      <c r="C193" t="s">
        <v>316</v>
      </c>
      <c r="D193" t="s">
        <v>315</v>
      </c>
      <c r="E193">
        <v>7.9</v>
      </c>
      <c r="F193">
        <v>773</v>
      </c>
      <c r="G193">
        <v>927</v>
      </c>
      <c r="H193">
        <v>132</v>
      </c>
      <c r="I193">
        <v>4</v>
      </c>
      <c r="J193">
        <v>0.01</v>
      </c>
      <c r="K193">
        <v>16</v>
      </c>
      <c r="L193" t="str">
        <f t="shared" si="8"/>
        <v>Safe</v>
      </c>
      <c r="M193" t="str">
        <f t="shared" si="9"/>
        <v>Safe</v>
      </c>
      <c r="N193" t="str">
        <f t="shared" si="10"/>
        <v>Safe</v>
      </c>
      <c r="O193" t="str">
        <f t="shared" si="11"/>
        <v>Safe</v>
      </c>
    </row>
    <row r="194" spans="1:15" x14ac:dyDescent="0.35">
      <c r="A194" t="s">
        <v>203</v>
      </c>
      <c r="B194" s="1">
        <v>44856</v>
      </c>
      <c r="C194" t="s">
        <v>314</v>
      </c>
      <c r="D194" t="s">
        <v>315</v>
      </c>
      <c r="E194">
        <v>8.5</v>
      </c>
      <c r="F194">
        <v>1038</v>
      </c>
      <c r="G194">
        <v>179</v>
      </c>
      <c r="H194">
        <v>335</v>
      </c>
      <c r="I194">
        <v>69</v>
      </c>
      <c r="J194">
        <v>1.6E-2</v>
      </c>
      <c r="K194">
        <v>14</v>
      </c>
      <c r="L194" t="str">
        <f t="shared" si="8"/>
        <v>Safe</v>
      </c>
      <c r="M194" t="str">
        <f t="shared" si="9"/>
        <v>Unsafe</v>
      </c>
      <c r="N194" t="str">
        <f t="shared" si="10"/>
        <v>Unsafe</v>
      </c>
      <c r="O194" t="str">
        <f t="shared" si="11"/>
        <v>Contaminated</v>
      </c>
    </row>
    <row r="195" spans="1:15" x14ac:dyDescent="0.35">
      <c r="A195" t="s">
        <v>204</v>
      </c>
      <c r="B195" s="1">
        <v>44579</v>
      </c>
      <c r="C195" t="s">
        <v>311</v>
      </c>
      <c r="D195" t="s">
        <v>315</v>
      </c>
      <c r="E195">
        <v>8</v>
      </c>
      <c r="F195">
        <v>1335</v>
      </c>
      <c r="G195">
        <v>1125</v>
      </c>
      <c r="H195">
        <v>253</v>
      </c>
      <c r="I195">
        <v>1</v>
      </c>
      <c r="J195">
        <v>1E-3</v>
      </c>
      <c r="K195">
        <v>34</v>
      </c>
      <c r="L195" t="str">
        <f t="shared" ref="L195:L258" si="12">IF(OR(E195&lt;6.5,E195&gt;8.5),"Unsafe","Safe")</f>
        <v>Safe</v>
      </c>
      <c r="M195" t="str">
        <f t="shared" ref="M195:M258" si="13">IF(I195&gt;50,"Unsafe","Safe")</f>
        <v>Safe</v>
      </c>
      <c r="N195" t="str">
        <f t="shared" ref="N195:N258" si="14">IF(J195&gt;0.01,"Unsafe","Safe")</f>
        <v>Safe</v>
      </c>
      <c r="O195" t="str">
        <f t="shared" ref="O195:O258" si="15">IF(OR(L195="Unsafe",M195="Unsafe",N195="Unsafe"),"Contaminated","Safe")</f>
        <v>Safe</v>
      </c>
    </row>
    <row r="196" spans="1:15" x14ac:dyDescent="0.35">
      <c r="A196" t="s">
        <v>205</v>
      </c>
      <c r="B196" s="1">
        <v>44663</v>
      </c>
      <c r="C196" t="s">
        <v>317</v>
      </c>
      <c r="D196" t="s">
        <v>315</v>
      </c>
      <c r="E196">
        <v>7.5</v>
      </c>
      <c r="F196">
        <v>1249</v>
      </c>
      <c r="G196">
        <v>1179</v>
      </c>
      <c r="H196">
        <v>272</v>
      </c>
      <c r="I196">
        <v>19</v>
      </c>
      <c r="J196">
        <v>5.0000000000000001E-3</v>
      </c>
      <c r="K196">
        <v>30</v>
      </c>
      <c r="L196" t="str">
        <f t="shared" si="12"/>
        <v>Safe</v>
      </c>
      <c r="M196" t="str">
        <f t="shared" si="13"/>
        <v>Safe</v>
      </c>
      <c r="N196" t="str">
        <f t="shared" si="14"/>
        <v>Safe</v>
      </c>
      <c r="O196" t="str">
        <f t="shared" si="15"/>
        <v>Safe</v>
      </c>
    </row>
    <row r="197" spans="1:15" x14ac:dyDescent="0.35">
      <c r="A197" t="s">
        <v>206</v>
      </c>
      <c r="B197" s="1">
        <v>44794</v>
      </c>
      <c r="C197" t="s">
        <v>311</v>
      </c>
      <c r="D197" t="s">
        <v>312</v>
      </c>
      <c r="E197">
        <v>6.2</v>
      </c>
      <c r="F197">
        <v>1485</v>
      </c>
      <c r="G197">
        <v>791</v>
      </c>
      <c r="H197">
        <v>386</v>
      </c>
      <c r="I197">
        <v>43</v>
      </c>
      <c r="J197">
        <v>2E-3</v>
      </c>
      <c r="K197">
        <v>22</v>
      </c>
      <c r="L197" t="str">
        <f t="shared" si="12"/>
        <v>Unsafe</v>
      </c>
      <c r="M197" t="str">
        <f t="shared" si="13"/>
        <v>Safe</v>
      </c>
      <c r="N197" t="str">
        <f t="shared" si="14"/>
        <v>Safe</v>
      </c>
      <c r="O197" t="str">
        <f t="shared" si="15"/>
        <v>Contaminated</v>
      </c>
    </row>
    <row r="198" spans="1:15" x14ac:dyDescent="0.35">
      <c r="A198" t="s">
        <v>207</v>
      </c>
      <c r="B198" s="1">
        <v>44893</v>
      </c>
      <c r="C198" t="s">
        <v>311</v>
      </c>
      <c r="D198" t="s">
        <v>318</v>
      </c>
      <c r="E198">
        <v>8</v>
      </c>
      <c r="F198">
        <v>951</v>
      </c>
      <c r="G198">
        <v>574</v>
      </c>
      <c r="H198">
        <v>316</v>
      </c>
      <c r="I198">
        <v>79</v>
      </c>
      <c r="J198">
        <v>0</v>
      </c>
      <c r="K198">
        <v>16</v>
      </c>
      <c r="L198" t="str">
        <f t="shared" si="12"/>
        <v>Safe</v>
      </c>
      <c r="M198" t="str">
        <f t="shared" si="13"/>
        <v>Unsafe</v>
      </c>
      <c r="N198" t="str">
        <f t="shared" si="14"/>
        <v>Safe</v>
      </c>
      <c r="O198" t="str">
        <f t="shared" si="15"/>
        <v>Contaminated</v>
      </c>
    </row>
    <row r="199" spans="1:15" x14ac:dyDescent="0.35">
      <c r="A199" t="s">
        <v>208</v>
      </c>
      <c r="B199" s="1">
        <v>44891</v>
      </c>
      <c r="C199" t="s">
        <v>317</v>
      </c>
      <c r="D199" t="s">
        <v>318</v>
      </c>
      <c r="E199">
        <v>8.3000000000000007</v>
      </c>
      <c r="F199">
        <v>1581</v>
      </c>
      <c r="G199">
        <v>456</v>
      </c>
      <c r="H199">
        <v>151</v>
      </c>
      <c r="I199">
        <v>38</v>
      </c>
      <c r="J199">
        <v>1.2999999999999999E-2</v>
      </c>
      <c r="K199">
        <v>21</v>
      </c>
      <c r="L199" t="str">
        <f t="shared" si="12"/>
        <v>Safe</v>
      </c>
      <c r="M199" t="str">
        <f t="shared" si="13"/>
        <v>Safe</v>
      </c>
      <c r="N199" t="str">
        <f t="shared" si="14"/>
        <v>Unsafe</v>
      </c>
      <c r="O199" t="str">
        <f t="shared" si="15"/>
        <v>Contaminated</v>
      </c>
    </row>
    <row r="200" spans="1:15" x14ac:dyDescent="0.35">
      <c r="A200" t="s">
        <v>209</v>
      </c>
      <c r="B200" s="1">
        <v>44801</v>
      </c>
      <c r="C200" t="s">
        <v>314</v>
      </c>
      <c r="D200" t="s">
        <v>315</v>
      </c>
      <c r="E200">
        <v>6.5</v>
      </c>
      <c r="F200">
        <v>1559</v>
      </c>
      <c r="G200">
        <v>464</v>
      </c>
      <c r="H200">
        <v>173</v>
      </c>
      <c r="I200">
        <v>64</v>
      </c>
      <c r="J200">
        <v>1.4999999999999999E-2</v>
      </c>
      <c r="K200">
        <v>35</v>
      </c>
      <c r="L200" t="str">
        <f t="shared" si="12"/>
        <v>Safe</v>
      </c>
      <c r="M200" t="str">
        <f t="shared" si="13"/>
        <v>Unsafe</v>
      </c>
      <c r="N200" t="str">
        <f t="shared" si="14"/>
        <v>Unsafe</v>
      </c>
      <c r="O200" t="str">
        <f t="shared" si="15"/>
        <v>Contaminated</v>
      </c>
    </row>
    <row r="201" spans="1:15" x14ac:dyDescent="0.35">
      <c r="A201" t="s">
        <v>210</v>
      </c>
      <c r="B201" s="1">
        <v>44767</v>
      </c>
      <c r="C201" t="s">
        <v>313</v>
      </c>
      <c r="D201" t="s">
        <v>312</v>
      </c>
      <c r="E201">
        <v>8.9</v>
      </c>
      <c r="F201">
        <v>956</v>
      </c>
      <c r="G201">
        <v>396</v>
      </c>
      <c r="H201">
        <v>63</v>
      </c>
      <c r="I201">
        <v>67</v>
      </c>
      <c r="J201">
        <v>4.0000000000000001E-3</v>
      </c>
      <c r="K201">
        <v>24</v>
      </c>
      <c r="L201" t="str">
        <f t="shared" si="12"/>
        <v>Unsafe</v>
      </c>
      <c r="M201" t="str">
        <f t="shared" si="13"/>
        <v>Unsafe</v>
      </c>
      <c r="N201" t="str">
        <f t="shared" si="14"/>
        <v>Safe</v>
      </c>
      <c r="O201" t="str">
        <f t="shared" si="15"/>
        <v>Contaminated</v>
      </c>
    </row>
    <row r="202" spans="1:15" x14ac:dyDescent="0.35">
      <c r="A202" t="s">
        <v>211</v>
      </c>
      <c r="B202" s="1">
        <v>44718</v>
      </c>
      <c r="C202" t="s">
        <v>314</v>
      </c>
      <c r="D202" t="s">
        <v>318</v>
      </c>
      <c r="E202">
        <v>8.1</v>
      </c>
      <c r="F202">
        <v>1073</v>
      </c>
      <c r="G202">
        <v>918</v>
      </c>
      <c r="H202">
        <v>114</v>
      </c>
      <c r="I202">
        <v>77</v>
      </c>
      <c r="J202">
        <v>1.0999999999999999E-2</v>
      </c>
      <c r="K202">
        <v>29</v>
      </c>
      <c r="L202" t="str">
        <f t="shared" si="12"/>
        <v>Safe</v>
      </c>
      <c r="M202" t="str">
        <f t="shared" si="13"/>
        <v>Unsafe</v>
      </c>
      <c r="N202" t="str">
        <f t="shared" si="14"/>
        <v>Unsafe</v>
      </c>
      <c r="O202" t="str">
        <f t="shared" si="15"/>
        <v>Contaminated</v>
      </c>
    </row>
    <row r="203" spans="1:15" x14ac:dyDescent="0.35">
      <c r="A203" t="s">
        <v>212</v>
      </c>
      <c r="B203" s="1">
        <v>44718</v>
      </c>
      <c r="C203" t="s">
        <v>317</v>
      </c>
      <c r="D203" t="s">
        <v>312</v>
      </c>
      <c r="E203">
        <v>8.4</v>
      </c>
      <c r="F203">
        <v>308</v>
      </c>
      <c r="G203">
        <v>925</v>
      </c>
      <c r="H203">
        <v>280</v>
      </c>
      <c r="I203">
        <v>19</v>
      </c>
      <c r="J203">
        <v>4.0000000000000001E-3</v>
      </c>
      <c r="K203">
        <v>33</v>
      </c>
      <c r="L203" t="str">
        <f t="shared" si="12"/>
        <v>Safe</v>
      </c>
      <c r="M203" t="str">
        <f t="shared" si="13"/>
        <v>Safe</v>
      </c>
      <c r="N203" t="str">
        <f t="shared" si="14"/>
        <v>Safe</v>
      </c>
      <c r="O203" t="str">
        <f t="shared" si="15"/>
        <v>Safe</v>
      </c>
    </row>
    <row r="204" spans="1:15" x14ac:dyDescent="0.35">
      <c r="A204" t="s">
        <v>213</v>
      </c>
      <c r="B204" s="1">
        <v>44870</v>
      </c>
      <c r="C204" t="s">
        <v>311</v>
      </c>
      <c r="D204" t="s">
        <v>318</v>
      </c>
      <c r="E204">
        <v>7.2</v>
      </c>
      <c r="F204">
        <v>369</v>
      </c>
      <c r="G204">
        <v>1127</v>
      </c>
      <c r="H204">
        <v>148</v>
      </c>
      <c r="I204">
        <v>73</v>
      </c>
      <c r="J204">
        <v>6.0000000000000001E-3</v>
      </c>
      <c r="K204">
        <v>18</v>
      </c>
      <c r="L204" t="str">
        <f t="shared" si="12"/>
        <v>Safe</v>
      </c>
      <c r="M204" t="str">
        <f t="shared" si="13"/>
        <v>Unsafe</v>
      </c>
      <c r="N204" t="str">
        <f t="shared" si="14"/>
        <v>Safe</v>
      </c>
      <c r="O204" t="str">
        <f t="shared" si="15"/>
        <v>Contaminated</v>
      </c>
    </row>
    <row r="205" spans="1:15" x14ac:dyDescent="0.35">
      <c r="A205" t="s">
        <v>214</v>
      </c>
      <c r="B205" s="1">
        <v>44822</v>
      </c>
      <c r="C205" t="s">
        <v>313</v>
      </c>
      <c r="D205" t="s">
        <v>315</v>
      </c>
      <c r="E205">
        <v>6.3</v>
      </c>
      <c r="F205">
        <v>1796</v>
      </c>
      <c r="G205">
        <v>539</v>
      </c>
      <c r="H205">
        <v>318</v>
      </c>
      <c r="I205">
        <v>54</v>
      </c>
      <c r="J205">
        <v>8.9999999999999993E-3</v>
      </c>
      <c r="K205">
        <v>15</v>
      </c>
      <c r="L205" t="str">
        <f t="shared" si="12"/>
        <v>Unsafe</v>
      </c>
      <c r="M205" t="str">
        <f t="shared" si="13"/>
        <v>Unsafe</v>
      </c>
      <c r="N205" t="str">
        <f t="shared" si="14"/>
        <v>Safe</v>
      </c>
      <c r="O205" t="str">
        <f t="shared" si="15"/>
        <v>Contaminated</v>
      </c>
    </row>
    <row r="206" spans="1:15" x14ac:dyDescent="0.35">
      <c r="A206" t="s">
        <v>215</v>
      </c>
      <c r="B206" s="1">
        <v>44827</v>
      </c>
      <c r="C206" t="s">
        <v>314</v>
      </c>
      <c r="D206" t="s">
        <v>312</v>
      </c>
      <c r="E206">
        <v>7.9</v>
      </c>
      <c r="F206">
        <v>475</v>
      </c>
      <c r="G206">
        <v>559</v>
      </c>
      <c r="H206">
        <v>310</v>
      </c>
      <c r="I206">
        <v>43</v>
      </c>
      <c r="J206">
        <v>1E-3</v>
      </c>
      <c r="K206">
        <v>22</v>
      </c>
      <c r="L206" t="str">
        <f t="shared" si="12"/>
        <v>Safe</v>
      </c>
      <c r="M206" t="str">
        <f t="shared" si="13"/>
        <v>Safe</v>
      </c>
      <c r="N206" t="str">
        <f t="shared" si="14"/>
        <v>Safe</v>
      </c>
      <c r="O206" t="str">
        <f t="shared" si="15"/>
        <v>Safe</v>
      </c>
    </row>
    <row r="207" spans="1:15" x14ac:dyDescent="0.35">
      <c r="A207" t="s">
        <v>216</v>
      </c>
      <c r="B207" s="1">
        <v>44745</v>
      </c>
      <c r="C207" t="s">
        <v>313</v>
      </c>
      <c r="D207" t="s">
        <v>315</v>
      </c>
      <c r="E207">
        <v>7.6</v>
      </c>
      <c r="F207">
        <v>1259</v>
      </c>
      <c r="G207">
        <v>727</v>
      </c>
      <c r="H207">
        <v>395</v>
      </c>
      <c r="I207">
        <v>33</v>
      </c>
      <c r="J207">
        <v>1.7999999999999999E-2</v>
      </c>
      <c r="K207">
        <v>16</v>
      </c>
      <c r="L207" t="str">
        <f t="shared" si="12"/>
        <v>Safe</v>
      </c>
      <c r="M207" t="str">
        <f t="shared" si="13"/>
        <v>Safe</v>
      </c>
      <c r="N207" t="str">
        <f t="shared" si="14"/>
        <v>Unsafe</v>
      </c>
      <c r="O207" t="str">
        <f t="shared" si="15"/>
        <v>Contaminated</v>
      </c>
    </row>
    <row r="208" spans="1:15" x14ac:dyDescent="0.35">
      <c r="A208" t="s">
        <v>217</v>
      </c>
      <c r="B208" s="1">
        <v>44796</v>
      </c>
      <c r="C208" t="s">
        <v>316</v>
      </c>
      <c r="D208" t="s">
        <v>312</v>
      </c>
      <c r="E208">
        <v>7.5</v>
      </c>
      <c r="F208">
        <v>838</v>
      </c>
      <c r="G208">
        <v>540</v>
      </c>
      <c r="H208">
        <v>186</v>
      </c>
      <c r="I208">
        <v>25</v>
      </c>
      <c r="J208">
        <v>1.9E-2</v>
      </c>
      <c r="K208">
        <v>24</v>
      </c>
      <c r="L208" t="str">
        <f t="shared" si="12"/>
        <v>Safe</v>
      </c>
      <c r="M208" t="str">
        <f t="shared" si="13"/>
        <v>Safe</v>
      </c>
      <c r="N208" t="str">
        <f t="shared" si="14"/>
        <v>Unsafe</v>
      </c>
      <c r="O208" t="str">
        <f t="shared" si="15"/>
        <v>Contaminated</v>
      </c>
    </row>
    <row r="209" spans="1:15" x14ac:dyDescent="0.35">
      <c r="A209" t="s">
        <v>218</v>
      </c>
      <c r="B209" s="1">
        <v>44762</v>
      </c>
      <c r="C209" t="s">
        <v>314</v>
      </c>
      <c r="D209" t="s">
        <v>312</v>
      </c>
      <c r="E209">
        <v>8.5</v>
      </c>
      <c r="F209">
        <v>1680</v>
      </c>
      <c r="G209">
        <v>351</v>
      </c>
      <c r="H209">
        <v>83</v>
      </c>
      <c r="I209">
        <v>5</v>
      </c>
      <c r="J209">
        <v>1.6E-2</v>
      </c>
      <c r="K209">
        <v>16</v>
      </c>
      <c r="L209" t="str">
        <f t="shared" si="12"/>
        <v>Safe</v>
      </c>
      <c r="M209" t="str">
        <f t="shared" si="13"/>
        <v>Safe</v>
      </c>
      <c r="N209" t="str">
        <f t="shared" si="14"/>
        <v>Unsafe</v>
      </c>
      <c r="O209" t="str">
        <f t="shared" si="15"/>
        <v>Contaminated</v>
      </c>
    </row>
    <row r="210" spans="1:15" x14ac:dyDescent="0.35">
      <c r="A210" t="s">
        <v>219</v>
      </c>
      <c r="B210" s="1">
        <v>44577</v>
      </c>
      <c r="C210" t="s">
        <v>317</v>
      </c>
      <c r="D210" t="s">
        <v>312</v>
      </c>
      <c r="E210">
        <v>6.1</v>
      </c>
      <c r="F210">
        <v>1164</v>
      </c>
      <c r="G210">
        <v>272</v>
      </c>
      <c r="H210">
        <v>106</v>
      </c>
      <c r="I210">
        <v>19</v>
      </c>
      <c r="J210">
        <v>1.2E-2</v>
      </c>
      <c r="K210">
        <v>32</v>
      </c>
      <c r="L210" t="str">
        <f t="shared" si="12"/>
        <v>Unsafe</v>
      </c>
      <c r="M210" t="str">
        <f t="shared" si="13"/>
        <v>Safe</v>
      </c>
      <c r="N210" t="str">
        <f t="shared" si="14"/>
        <v>Unsafe</v>
      </c>
      <c r="O210" t="str">
        <f t="shared" si="15"/>
        <v>Contaminated</v>
      </c>
    </row>
    <row r="211" spans="1:15" x14ac:dyDescent="0.35">
      <c r="A211" t="s">
        <v>220</v>
      </c>
      <c r="B211" s="1">
        <v>44860</v>
      </c>
      <c r="C211" t="s">
        <v>317</v>
      </c>
      <c r="D211" t="s">
        <v>315</v>
      </c>
      <c r="E211">
        <v>6.1</v>
      </c>
      <c r="F211">
        <v>319</v>
      </c>
      <c r="G211">
        <v>225</v>
      </c>
      <c r="H211">
        <v>238</v>
      </c>
      <c r="I211">
        <v>0</v>
      </c>
      <c r="J211">
        <v>1.2E-2</v>
      </c>
      <c r="K211">
        <v>32</v>
      </c>
      <c r="L211" t="str">
        <f t="shared" si="12"/>
        <v>Unsafe</v>
      </c>
      <c r="M211" t="str">
        <f t="shared" si="13"/>
        <v>Safe</v>
      </c>
      <c r="N211" t="str">
        <f t="shared" si="14"/>
        <v>Unsafe</v>
      </c>
      <c r="O211" t="str">
        <f t="shared" si="15"/>
        <v>Contaminated</v>
      </c>
    </row>
    <row r="212" spans="1:15" x14ac:dyDescent="0.35">
      <c r="A212" t="s">
        <v>221</v>
      </c>
      <c r="B212" s="1">
        <v>44867</v>
      </c>
      <c r="C212" t="s">
        <v>311</v>
      </c>
      <c r="D212" t="s">
        <v>315</v>
      </c>
      <c r="E212">
        <v>6.3</v>
      </c>
      <c r="F212">
        <v>211</v>
      </c>
      <c r="G212">
        <v>803</v>
      </c>
      <c r="H212">
        <v>182</v>
      </c>
      <c r="I212">
        <v>70</v>
      </c>
      <c r="J212">
        <v>8.9999999999999993E-3</v>
      </c>
      <c r="K212">
        <v>30</v>
      </c>
      <c r="L212" t="str">
        <f t="shared" si="12"/>
        <v>Unsafe</v>
      </c>
      <c r="M212" t="str">
        <f t="shared" si="13"/>
        <v>Unsafe</v>
      </c>
      <c r="N212" t="str">
        <f t="shared" si="14"/>
        <v>Safe</v>
      </c>
      <c r="O212" t="str">
        <f t="shared" si="15"/>
        <v>Contaminated</v>
      </c>
    </row>
    <row r="213" spans="1:15" x14ac:dyDescent="0.35">
      <c r="A213" t="s">
        <v>222</v>
      </c>
      <c r="B213" s="1">
        <v>44608</v>
      </c>
      <c r="C213" t="s">
        <v>314</v>
      </c>
      <c r="D213" t="s">
        <v>315</v>
      </c>
      <c r="E213">
        <v>6.8</v>
      </c>
      <c r="F213">
        <v>597</v>
      </c>
      <c r="G213">
        <v>953</v>
      </c>
      <c r="H213">
        <v>256</v>
      </c>
      <c r="I213">
        <v>53</v>
      </c>
      <c r="J213">
        <v>0.01</v>
      </c>
      <c r="K213">
        <v>19</v>
      </c>
      <c r="L213" t="str">
        <f t="shared" si="12"/>
        <v>Safe</v>
      </c>
      <c r="M213" t="str">
        <f t="shared" si="13"/>
        <v>Unsafe</v>
      </c>
      <c r="N213" t="str">
        <f t="shared" si="14"/>
        <v>Safe</v>
      </c>
      <c r="O213" t="str">
        <f t="shared" si="15"/>
        <v>Contaminated</v>
      </c>
    </row>
    <row r="214" spans="1:15" x14ac:dyDescent="0.35">
      <c r="A214" t="s">
        <v>223</v>
      </c>
      <c r="B214" s="1">
        <v>44764</v>
      </c>
      <c r="C214" t="s">
        <v>311</v>
      </c>
      <c r="D214" t="s">
        <v>315</v>
      </c>
      <c r="E214">
        <v>7.4</v>
      </c>
      <c r="F214">
        <v>1503</v>
      </c>
      <c r="G214">
        <v>1097</v>
      </c>
      <c r="H214">
        <v>128</v>
      </c>
      <c r="I214">
        <v>35</v>
      </c>
      <c r="J214">
        <v>2E-3</v>
      </c>
      <c r="K214">
        <v>33</v>
      </c>
      <c r="L214" t="str">
        <f t="shared" si="12"/>
        <v>Safe</v>
      </c>
      <c r="M214" t="str">
        <f t="shared" si="13"/>
        <v>Safe</v>
      </c>
      <c r="N214" t="str">
        <f t="shared" si="14"/>
        <v>Safe</v>
      </c>
      <c r="O214" t="str">
        <f t="shared" si="15"/>
        <v>Safe</v>
      </c>
    </row>
    <row r="215" spans="1:15" x14ac:dyDescent="0.35">
      <c r="A215" t="s">
        <v>224</v>
      </c>
      <c r="B215" s="1">
        <v>44581</v>
      </c>
      <c r="C215" t="s">
        <v>311</v>
      </c>
      <c r="D215" t="s">
        <v>312</v>
      </c>
      <c r="E215">
        <v>7.6</v>
      </c>
      <c r="F215">
        <v>286</v>
      </c>
      <c r="G215">
        <v>450</v>
      </c>
      <c r="H215">
        <v>365</v>
      </c>
      <c r="I215">
        <v>24</v>
      </c>
      <c r="J215">
        <v>5.0000000000000001E-3</v>
      </c>
      <c r="K215">
        <v>28</v>
      </c>
      <c r="L215" t="str">
        <f t="shared" si="12"/>
        <v>Safe</v>
      </c>
      <c r="M215" t="str">
        <f t="shared" si="13"/>
        <v>Safe</v>
      </c>
      <c r="N215" t="str">
        <f t="shared" si="14"/>
        <v>Safe</v>
      </c>
      <c r="O215" t="str">
        <f t="shared" si="15"/>
        <v>Safe</v>
      </c>
    </row>
    <row r="216" spans="1:15" x14ac:dyDescent="0.35">
      <c r="A216" t="s">
        <v>225</v>
      </c>
      <c r="B216" s="1">
        <v>44774</v>
      </c>
      <c r="C216" t="s">
        <v>311</v>
      </c>
      <c r="D216" t="s">
        <v>318</v>
      </c>
      <c r="E216">
        <v>8.5</v>
      </c>
      <c r="F216">
        <v>1688</v>
      </c>
      <c r="G216">
        <v>216</v>
      </c>
      <c r="H216">
        <v>122</v>
      </c>
      <c r="I216">
        <v>4</v>
      </c>
      <c r="J216">
        <v>1.2999999999999999E-2</v>
      </c>
      <c r="K216">
        <v>26</v>
      </c>
      <c r="L216" t="str">
        <f t="shared" si="12"/>
        <v>Safe</v>
      </c>
      <c r="M216" t="str">
        <f t="shared" si="13"/>
        <v>Safe</v>
      </c>
      <c r="N216" t="str">
        <f t="shared" si="14"/>
        <v>Unsafe</v>
      </c>
      <c r="O216" t="str">
        <f t="shared" si="15"/>
        <v>Contaminated</v>
      </c>
    </row>
    <row r="217" spans="1:15" x14ac:dyDescent="0.35">
      <c r="A217" t="s">
        <v>226</v>
      </c>
      <c r="B217" s="1">
        <v>44809</v>
      </c>
      <c r="C217" t="s">
        <v>311</v>
      </c>
      <c r="D217" t="s">
        <v>312</v>
      </c>
      <c r="E217">
        <v>7.7</v>
      </c>
      <c r="F217">
        <v>1311</v>
      </c>
      <c r="G217">
        <v>782</v>
      </c>
      <c r="H217">
        <v>248</v>
      </c>
      <c r="I217">
        <v>12</v>
      </c>
      <c r="J217">
        <v>1.7999999999999999E-2</v>
      </c>
      <c r="K217">
        <v>24</v>
      </c>
      <c r="L217" t="str">
        <f t="shared" si="12"/>
        <v>Safe</v>
      </c>
      <c r="M217" t="str">
        <f t="shared" si="13"/>
        <v>Safe</v>
      </c>
      <c r="N217" t="str">
        <f t="shared" si="14"/>
        <v>Unsafe</v>
      </c>
      <c r="O217" t="str">
        <f t="shared" si="15"/>
        <v>Contaminated</v>
      </c>
    </row>
    <row r="218" spans="1:15" x14ac:dyDescent="0.35">
      <c r="A218" t="s">
        <v>227</v>
      </c>
      <c r="B218" s="1">
        <v>44850</v>
      </c>
      <c r="C218" t="s">
        <v>314</v>
      </c>
      <c r="D218" t="s">
        <v>312</v>
      </c>
      <c r="E218">
        <v>7.7</v>
      </c>
      <c r="F218">
        <v>1614</v>
      </c>
      <c r="G218">
        <v>1005</v>
      </c>
      <c r="H218">
        <v>176</v>
      </c>
      <c r="I218">
        <v>3</v>
      </c>
      <c r="J218">
        <v>1.7999999999999999E-2</v>
      </c>
      <c r="K218">
        <v>17</v>
      </c>
      <c r="L218" t="str">
        <f t="shared" si="12"/>
        <v>Safe</v>
      </c>
      <c r="M218" t="str">
        <f t="shared" si="13"/>
        <v>Safe</v>
      </c>
      <c r="N218" t="str">
        <f t="shared" si="14"/>
        <v>Unsafe</v>
      </c>
      <c r="O218" t="str">
        <f t="shared" si="15"/>
        <v>Contaminated</v>
      </c>
    </row>
    <row r="219" spans="1:15" x14ac:dyDescent="0.35">
      <c r="A219" t="s">
        <v>228</v>
      </c>
      <c r="B219" s="1">
        <v>44768</v>
      </c>
      <c r="C219" t="s">
        <v>314</v>
      </c>
      <c r="D219" t="s">
        <v>312</v>
      </c>
      <c r="E219">
        <v>6.1</v>
      </c>
      <c r="F219">
        <v>287</v>
      </c>
      <c r="G219">
        <v>506</v>
      </c>
      <c r="H219">
        <v>375</v>
      </c>
      <c r="I219">
        <v>72</v>
      </c>
      <c r="J219">
        <v>7.0000000000000001E-3</v>
      </c>
      <c r="K219">
        <v>21</v>
      </c>
      <c r="L219" t="str">
        <f t="shared" si="12"/>
        <v>Unsafe</v>
      </c>
      <c r="M219" t="str">
        <f t="shared" si="13"/>
        <v>Unsafe</v>
      </c>
      <c r="N219" t="str">
        <f t="shared" si="14"/>
        <v>Safe</v>
      </c>
      <c r="O219" t="str">
        <f t="shared" si="15"/>
        <v>Contaminated</v>
      </c>
    </row>
    <row r="220" spans="1:15" x14ac:dyDescent="0.35">
      <c r="A220" t="s">
        <v>229</v>
      </c>
      <c r="B220" s="1">
        <v>44787</v>
      </c>
      <c r="C220" t="s">
        <v>311</v>
      </c>
      <c r="D220" t="s">
        <v>315</v>
      </c>
      <c r="E220">
        <v>8.9</v>
      </c>
      <c r="F220">
        <v>1069</v>
      </c>
      <c r="G220">
        <v>665</v>
      </c>
      <c r="H220">
        <v>127</v>
      </c>
      <c r="I220">
        <v>1</v>
      </c>
      <c r="J220">
        <v>0</v>
      </c>
      <c r="K220">
        <v>20</v>
      </c>
      <c r="L220" t="str">
        <f t="shared" si="12"/>
        <v>Unsafe</v>
      </c>
      <c r="M220" t="str">
        <f t="shared" si="13"/>
        <v>Safe</v>
      </c>
      <c r="N220" t="str">
        <f t="shared" si="14"/>
        <v>Safe</v>
      </c>
      <c r="O220" t="str">
        <f t="shared" si="15"/>
        <v>Contaminated</v>
      </c>
    </row>
    <row r="221" spans="1:15" x14ac:dyDescent="0.35">
      <c r="A221" t="s">
        <v>230</v>
      </c>
      <c r="B221" s="1">
        <v>44627</v>
      </c>
      <c r="C221" t="s">
        <v>311</v>
      </c>
      <c r="D221" t="s">
        <v>315</v>
      </c>
      <c r="E221">
        <v>9</v>
      </c>
      <c r="F221">
        <v>912</v>
      </c>
      <c r="G221">
        <v>533</v>
      </c>
      <c r="H221">
        <v>391</v>
      </c>
      <c r="I221">
        <v>37</v>
      </c>
      <c r="J221">
        <v>4.0000000000000001E-3</v>
      </c>
      <c r="K221">
        <v>18</v>
      </c>
      <c r="L221" t="str">
        <f t="shared" si="12"/>
        <v>Unsafe</v>
      </c>
      <c r="M221" t="str">
        <f t="shared" si="13"/>
        <v>Safe</v>
      </c>
      <c r="N221" t="str">
        <f t="shared" si="14"/>
        <v>Safe</v>
      </c>
      <c r="O221" t="str">
        <f t="shared" si="15"/>
        <v>Contaminated</v>
      </c>
    </row>
    <row r="222" spans="1:15" x14ac:dyDescent="0.35">
      <c r="A222" t="s">
        <v>231</v>
      </c>
      <c r="B222" s="1">
        <v>44639</v>
      </c>
      <c r="C222" t="s">
        <v>313</v>
      </c>
      <c r="D222" t="s">
        <v>318</v>
      </c>
      <c r="E222">
        <v>6.9</v>
      </c>
      <c r="F222">
        <v>833</v>
      </c>
      <c r="G222">
        <v>547</v>
      </c>
      <c r="H222">
        <v>204</v>
      </c>
      <c r="I222">
        <v>8</v>
      </c>
      <c r="J222">
        <v>1E-3</v>
      </c>
      <c r="K222">
        <v>15</v>
      </c>
      <c r="L222" t="str">
        <f t="shared" si="12"/>
        <v>Safe</v>
      </c>
      <c r="M222" t="str">
        <f t="shared" si="13"/>
        <v>Safe</v>
      </c>
      <c r="N222" t="str">
        <f t="shared" si="14"/>
        <v>Safe</v>
      </c>
      <c r="O222" t="str">
        <f t="shared" si="15"/>
        <v>Safe</v>
      </c>
    </row>
    <row r="223" spans="1:15" x14ac:dyDescent="0.35">
      <c r="A223" t="s">
        <v>232</v>
      </c>
      <c r="B223" s="1">
        <v>44866</v>
      </c>
      <c r="C223" t="s">
        <v>314</v>
      </c>
      <c r="D223" t="s">
        <v>312</v>
      </c>
      <c r="E223">
        <v>6.5</v>
      </c>
      <c r="F223">
        <v>496</v>
      </c>
      <c r="G223">
        <v>484</v>
      </c>
      <c r="H223">
        <v>330</v>
      </c>
      <c r="I223">
        <v>57</v>
      </c>
      <c r="J223">
        <v>8.9999999999999993E-3</v>
      </c>
      <c r="K223">
        <v>34</v>
      </c>
      <c r="L223" t="str">
        <f t="shared" si="12"/>
        <v>Safe</v>
      </c>
      <c r="M223" t="str">
        <f t="shared" si="13"/>
        <v>Unsafe</v>
      </c>
      <c r="N223" t="str">
        <f t="shared" si="14"/>
        <v>Safe</v>
      </c>
      <c r="O223" t="str">
        <f t="shared" si="15"/>
        <v>Contaminated</v>
      </c>
    </row>
    <row r="224" spans="1:15" x14ac:dyDescent="0.35">
      <c r="A224" t="s">
        <v>233</v>
      </c>
      <c r="B224" s="1">
        <v>44704</v>
      </c>
      <c r="C224" t="s">
        <v>313</v>
      </c>
      <c r="D224" t="s">
        <v>315</v>
      </c>
      <c r="E224">
        <v>8.6999999999999993</v>
      </c>
      <c r="F224">
        <v>729</v>
      </c>
      <c r="G224">
        <v>628</v>
      </c>
      <c r="H224">
        <v>161</v>
      </c>
      <c r="I224">
        <v>32</v>
      </c>
      <c r="J224">
        <v>1.2999999999999999E-2</v>
      </c>
      <c r="K224">
        <v>35</v>
      </c>
      <c r="L224" t="str">
        <f t="shared" si="12"/>
        <v>Unsafe</v>
      </c>
      <c r="M224" t="str">
        <f t="shared" si="13"/>
        <v>Safe</v>
      </c>
      <c r="N224" t="str">
        <f t="shared" si="14"/>
        <v>Unsafe</v>
      </c>
      <c r="O224" t="str">
        <f t="shared" si="15"/>
        <v>Contaminated</v>
      </c>
    </row>
    <row r="225" spans="1:15" x14ac:dyDescent="0.35">
      <c r="A225" t="s">
        <v>234</v>
      </c>
      <c r="B225" s="1">
        <v>44756</v>
      </c>
      <c r="C225" t="s">
        <v>311</v>
      </c>
      <c r="D225" t="s">
        <v>315</v>
      </c>
      <c r="E225">
        <v>7.3</v>
      </c>
      <c r="F225">
        <v>1395</v>
      </c>
      <c r="G225">
        <v>475</v>
      </c>
      <c r="H225">
        <v>385</v>
      </c>
      <c r="I225">
        <v>66</v>
      </c>
      <c r="J225">
        <v>1.7000000000000001E-2</v>
      </c>
      <c r="K225">
        <v>28</v>
      </c>
      <c r="L225" t="str">
        <f t="shared" si="12"/>
        <v>Safe</v>
      </c>
      <c r="M225" t="str">
        <f t="shared" si="13"/>
        <v>Unsafe</v>
      </c>
      <c r="N225" t="str">
        <f t="shared" si="14"/>
        <v>Unsafe</v>
      </c>
      <c r="O225" t="str">
        <f t="shared" si="15"/>
        <v>Contaminated</v>
      </c>
    </row>
    <row r="226" spans="1:15" x14ac:dyDescent="0.35">
      <c r="A226" t="s">
        <v>235</v>
      </c>
      <c r="B226" s="1">
        <v>44866</v>
      </c>
      <c r="C226" t="s">
        <v>314</v>
      </c>
      <c r="D226" t="s">
        <v>315</v>
      </c>
      <c r="E226">
        <v>7.8</v>
      </c>
      <c r="F226">
        <v>566</v>
      </c>
      <c r="G226">
        <v>1146</v>
      </c>
      <c r="H226">
        <v>193</v>
      </c>
      <c r="I226">
        <v>4</v>
      </c>
      <c r="J226">
        <v>5.0000000000000001E-3</v>
      </c>
      <c r="K226">
        <v>12</v>
      </c>
      <c r="L226" t="str">
        <f t="shared" si="12"/>
        <v>Safe</v>
      </c>
      <c r="M226" t="str">
        <f t="shared" si="13"/>
        <v>Safe</v>
      </c>
      <c r="N226" t="str">
        <f t="shared" si="14"/>
        <v>Safe</v>
      </c>
      <c r="O226" t="str">
        <f t="shared" si="15"/>
        <v>Safe</v>
      </c>
    </row>
    <row r="227" spans="1:15" x14ac:dyDescent="0.35">
      <c r="A227" t="s">
        <v>236</v>
      </c>
      <c r="B227" s="1">
        <v>44670</v>
      </c>
      <c r="C227" t="s">
        <v>316</v>
      </c>
      <c r="D227" t="s">
        <v>312</v>
      </c>
      <c r="E227">
        <v>7.8</v>
      </c>
      <c r="F227">
        <v>1183</v>
      </c>
      <c r="G227">
        <v>939</v>
      </c>
      <c r="H227">
        <v>391</v>
      </c>
      <c r="I227">
        <v>58</v>
      </c>
      <c r="J227">
        <v>7.0000000000000001E-3</v>
      </c>
      <c r="K227">
        <v>10</v>
      </c>
      <c r="L227" t="str">
        <f t="shared" si="12"/>
        <v>Safe</v>
      </c>
      <c r="M227" t="str">
        <f t="shared" si="13"/>
        <v>Unsafe</v>
      </c>
      <c r="N227" t="str">
        <f t="shared" si="14"/>
        <v>Safe</v>
      </c>
      <c r="O227" t="str">
        <f t="shared" si="15"/>
        <v>Contaminated</v>
      </c>
    </row>
    <row r="228" spans="1:15" x14ac:dyDescent="0.35">
      <c r="A228" t="s">
        <v>237</v>
      </c>
      <c r="B228" s="1">
        <v>44779</v>
      </c>
      <c r="C228" t="s">
        <v>317</v>
      </c>
      <c r="D228" t="s">
        <v>318</v>
      </c>
      <c r="E228">
        <v>6.3</v>
      </c>
      <c r="F228">
        <v>414</v>
      </c>
      <c r="G228">
        <v>1038</v>
      </c>
      <c r="H228">
        <v>270</v>
      </c>
      <c r="I228">
        <v>7</v>
      </c>
      <c r="J228">
        <v>2E-3</v>
      </c>
      <c r="K228">
        <v>19</v>
      </c>
      <c r="L228" t="str">
        <f t="shared" si="12"/>
        <v>Unsafe</v>
      </c>
      <c r="M228" t="str">
        <f t="shared" si="13"/>
        <v>Safe</v>
      </c>
      <c r="N228" t="str">
        <f t="shared" si="14"/>
        <v>Safe</v>
      </c>
      <c r="O228" t="str">
        <f t="shared" si="15"/>
        <v>Contaminated</v>
      </c>
    </row>
    <row r="229" spans="1:15" x14ac:dyDescent="0.35">
      <c r="A229" t="s">
        <v>238</v>
      </c>
      <c r="B229" s="1">
        <v>44782</v>
      </c>
      <c r="C229" t="s">
        <v>317</v>
      </c>
      <c r="D229" t="s">
        <v>312</v>
      </c>
      <c r="E229">
        <v>6</v>
      </c>
      <c r="F229">
        <v>757</v>
      </c>
      <c r="G229">
        <v>274</v>
      </c>
      <c r="H229">
        <v>228</v>
      </c>
      <c r="I229">
        <v>35</v>
      </c>
      <c r="J229">
        <v>1.7000000000000001E-2</v>
      </c>
      <c r="K229">
        <v>32</v>
      </c>
      <c r="L229" t="str">
        <f t="shared" si="12"/>
        <v>Unsafe</v>
      </c>
      <c r="M229" t="str">
        <f t="shared" si="13"/>
        <v>Safe</v>
      </c>
      <c r="N229" t="str">
        <f t="shared" si="14"/>
        <v>Unsafe</v>
      </c>
      <c r="O229" t="str">
        <f t="shared" si="15"/>
        <v>Contaminated</v>
      </c>
    </row>
    <row r="230" spans="1:15" x14ac:dyDescent="0.35">
      <c r="A230" t="s">
        <v>239</v>
      </c>
      <c r="B230" s="1">
        <v>44750</v>
      </c>
      <c r="C230" t="s">
        <v>317</v>
      </c>
      <c r="D230" t="s">
        <v>312</v>
      </c>
      <c r="E230">
        <v>8.5</v>
      </c>
      <c r="F230">
        <v>967</v>
      </c>
      <c r="G230">
        <v>509</v>
      </c>
      <c r="H230">
        <v>386</v>
      </c>
      <c r="I230">
        <v>32</v>
      </c>
      <c r="J230">
        <v>0</v>
      </c>
      <c r="K230">
        <v>30</v>
      </c>
      <c r="L230" t="str">
        <f t="shared" si="12"/>
        <v>Safe</v>
      </c>
      <c r="M230" t="str">
        <f t="shared" si="13"/>
        <v>Safe</v>
      </c>
      <c r="N230" t="str">
        <f t="shared" si="14"/>
        <v>Safe</v>
      </c>
      <c r="O230" t="str">
        <f t="shared" si="15"/>
        <v>Safe</v>
      </c>
    </row>
    <row r="231" spans="1:15" x14ac:dyDescent="0.35">
      <c r="A231" t="s">
        <v>240</v>
      </c>
      <c r="B231" s="1">
        <v>44663</v>
      </c>
      <c r="C231" t="s">
        <v>316</v>
      </c>
      <c r="D231" t="s">
        <v>312</v>
      </c>
      <c r="E231">
        <v>7.2</v>
      </c>
      <c r="F231">
        <v>787</v>
      </c>
      <c r="G231">
        <v>674</v>
      </c>
      <c r="H231">
        <v>355</v>
      </c>
      <c r="I231">
        <v>54</v>
      </c>
      <c r="J231">
        <v>2E-3</v>
      </c>
      <c r="K231">
        <v>27</v>
      </c>
      <c r="L231" t="str">
        <f t="shared" si="12"/>
        <v>Safe</v>
      </c>
      <c r="M231" t="str">
        <f t="shared" si="13"/>
        <v>Unsafe</v>
      </c>
      <c r="N231" t="str">
        <f t="shared" si="14"/>
        <v>Safe</v>
      </c>
      <c r="O231" t="str">
        <f t="shared" si="15"/>
        <v>Contaminated</v>
      </c>
    </row>
    <row r="232" spans="1:15" x14ac:dyDescent="0.35">
      <c r="A232" t="s">
        <v>241</v>
      </c>
      <c r="B232" s="1">
        <v>44734</v>
      </c>
      <c r="C232" t="s">
        <v>316</v>
      </c>
      <c r="D232" t="s">
        <v>318</v>
      </c>
      <c r="E232">
        <v>7.8</v>
      </c>
      <c r="F232">
        <v>539</v>
      </c>
      <c r="G232">
        <v>918</v>
      </c>
      <c r="H232">
        <v>128</v>
      </c>
      <c r="I232">
        <v>36</v>
      </c>
      <c r="J232">
        <v>0</v>
      </c>
      <c r="K232">
        <v>15</v>
      </c>
      <c r="L232" t="str">
        <f t="shared" si="12"/>
        <v>Safe</v>
      </c>
      <c r="M232" t="str">
        <f t="shared" si="13"/>
        <v>Safe</v>
      </c>
      <c r="N232" t="str">
        <f t="shared" si="14"/>
        <v>Safe</v>
      </c>
      <c r="O232" t="str">
        <f t="shared" si="15"/>
        <v>Safe</v>
      </c>
    </row>
    <row r="233" spans="1:15" x14ac:dyDescent="0.35">
      <c r="A233" t="s">
        <v>242</v>
      </c>
      <c r="B233" s="1">
        <v>44906</v>
      </c>
      <c r="C233" t="s">
        <v>313</v>
      </c>
      <c r="D233" t="s">
        <v>312</v>
      </c>
      <c r="E233">
        <v>7.9</v>
      </c>
      <c r="F233">
        <v>903</v>
      </c>
      <c r="G233">
        <v>542</v>
      </c>
      <c r="H233">
        <v>121</v>
      </c>
      <c r="I233">
        <v>11</v>
      </c>
      <c r="J233">
        <v>4.0000000000000001E-3</v>
      </c>
      <c r="K233">
        <v>30</v>
      </c>
      <c r="L233" t="str">
        <f t="shared" si="12"/>
        <v>Safe</v>
      </c>
      <c r="M233" t="str">
        <f t="shared" si="13"/>
        <v>Safe</v>
      </c>
      <c r="N233" t="str">
        <f t="shared" si="14"/>
        <v>Safe</v>
      </c>
      <c r="O233" t="str">
        <f t="shared" si="15"/>
        <v>Safe</v>
      </c>
    </row>
    <row r="234" spans="1:15" x14ac:dyDescent="0.35">
      <c r="A234" t="s">
        <v>243</v>
      </c>
      <c r="B234" s="1">
        <v>44752</v>
      </c>
      <c r="C234" t="s">
        <v>313</v>
      </c>
      <c r="D234" t="s">
        <v>315</v>
      </c>
      <c r="E234">
        <v>8.6</v>
      </c>
      <c r="F234">
        <v>216</v>
      </c>
      <c r="G234">
        <v>1014</v>
      </c>
      <c r="H234">
        <v>195</v>
      </c>
      <c r="I234">
        <v>69</v>
      </c>
      <c r="J234">
        <v>4.0000000000000001E-3</v>
      </c>
      <c r="K234">
        <v>29</v>
      </c>
      <c r="L234" t="str">
        <f t="shared" si="12"/>
        <v>Unsafe</v>
      </c>
      <c r="M234" t="str">
        <f t="shared" si="13"/>
        <v>Unsafe</v>
      </c>
      <c r="N234" t="str">
        <f t="shared" si="14"/>
        <v>Safe</v>
      </c>
      <c r="O234" t="str">
        <f t="shared" si="15"/>
        <v>Contaminated</v>
      </c>
    </row>
    <row r="235" spans="1:15" x14ac:dyDescent="0.35">
      <c r="A235" t="s">
        <v>244</v>
      </c>
      <c r="B235" s="1">
        <v>44795</v>
      </c>
      <c r="C235" t="s">
        <v>314</v>
      </c>
      <c r="D235" t="s">
        <v>318</v>
      </c>
      <c r="E235">
        <v>7.7</v>
      </c>
      <c r="F235">
        <v>1232</v>
      </c>
      <c r="G235">
        <v>435</v>
      </c>
      <c r="H235">
        <v>299</v>
      </c>
      <c r="I235">
        <v>10</v>
      </c>
      <c r="J235">
        <v>2E-3</v>
      </c>
      <c r="K235">
        <v>31</v>
      </c>
      <c r="L235" t="str">
        <f t="shared" si="12"/>
        <v>Safe</v>
      </c>
      <c r="M235" t="str">
        <f t="shared" si="13"/>
        <v>Safe</v>
      </c>
      <c r="N235" t="str">
        <f t="shared" si="14"/>
        <v>Safe</v>
      </c>
      <c r="O235" t="str">
        <f t="shared" si="15"/>
        <v>Safe</v>
      </c>
    </row>
    <row r="236" spans="1:15" x14ac:dyDescent="0.35">
      <c r="A236" t="s">
        <v>245</v>
      </c>
      <c r="B236" s="1">
        <v>44868</v>
      </c>
      <c r="C236" t="s">
        <v>317</v>
      </c>
      <c r="D236" t="s">
        <v>318</v>
      </c>
      <c r="E236">
        <v>8.5</v>
      </c>
      <c r="F236">
        <v>1122</v>
      </c>
      <c r="G236">
        <v>933</v>
      </c>
      <c r="H236">
        <v>243</v>
      </c>
      <c r="I236">
        <v>60</v>
      </c>
      <c r="J236">
        <v>0</v>
      </c>
      <c r="K236">
        <v>26</v>
      </c>
      <c r="L236" t="str">
        <f t="shared" si="12"/>
        <v>Safe</v>
      </c>
      <c r="M236" t="str">
        <f t="shared" si="13"/>
        <v>Unsafe</v>
      </c>
      <c r="N236" t="str">
        <f t="shared" si="14"/>
        <v>Safe</v>
      </c>
      <c r="O236" t="str">
        <f t="shared" si="15"/>
        <v>Contaminated</v>
      </c>
    </row>
    <row r="237" spans="1:15" x14ac:dyDescent="0.35">
      <c r="A237" t="s">
        <v>246</v>
      </c>
      <c r="B237" s="1">
        <v>44658</v>
      </c>
      <c r="C237" t="s">
        <v>317</v>
      </c>
      <c r="D237" t="s">
        <v>315</v>
      </c>
      <c r="E237">
        <v>6</v>
      </c>
      <c r="F237">
        <v>1482</v>
      </c>
      <c r="G237">
        <v>1113</v>
      </c>
      <c r="H237">
        <v>107</v>
      </c>
      <c r="I237">
        <v>37</v>
      </c>
      <c r="J237">
        <v>8.0000000000000002E-3</v>
      </c>
      <c r="K237">
        <v>12</v>
      </c>
      <c r="L237" t="str">
        <f t="shared" si="12"/>
        <v>Unsafe</v>
      </c>
      <c r="M237" t="str">
        <f t="shared" si="13"/>
        <v>Safe</v>
      </c>
      <c r="N237" t="str">
        <f t="shared" si="14"/>
        <v>Safe</v>
      </c>
      <c r="O237" t="str">
        <f t="shared" si="15"/>
        <v>Contaminated</v>
      </c>
    </row>
    <row r="238" spans="1:15" x14ac:dyDescent="0.35">
      <c r="A238" t="s">
        <v>247</v>
      </c>
      <c r="B238" s="1">
        <v>44767</v>
      </c>
      <c r="C238" t="s">
        <v>313</v>
      </c>
      <c r="D238" t="s">
        <v>318</v>
      </c>
      <c r="E238">
        <v>7.8</v>
      </c>
      <c r="F238">
        <v>1070</v>
      </c>
      <c r="G238">
        <v>556</v>
      </c>
      <c r="H238">
        <v>180</v>
      </c>
      <c r="I238">
        <v>29</v>
      </c>
      <c r="J238">
        <v>7.0000000000000001E-3</v>
      </c>
      <c r="K238">
        <v>14</v>
      </c>
      <c r="L238" t="str">
        <f t="shared" si="12"/>
        <v>Safe</v>
      </c>
      <c r="M238" t="str">
        <f t="shared" si="13"/>
        <v>Safe</v>
      </c>
      <c r="N238" t="str">
        <f t="shared" si="14"/>
        <v>Safe</v>
      </c>
      <c r="O238" t="str">
        <f t="shared" si="15"/>
        <v>Safe</v>
      </c>
    </row>
    <row r="239" spans="1:15" x14ac:dyDescent="0.35">
      <c r="A239" t="s">
        <v>248</v>
      </c>
      <c r="B239" s="1">
        <v>44797</v>
      </c>
      <c r="C239" t="s">
        <v>311</v>
      </c>
      <c r="D239" t="s">
        <v>315</v>
      </c>
      <c r="E239">
        <v>6.5</v>
      </c>
      <c r="F239">
        <v>1247</v>
      </c>
      <c r="G239">
        <v>382</v>
      </c>
      <c r="H239">
        <v>240</v>
      </c>
      <c r="I239">
        <v>0</v>
      </c>
      <c r="J239">
        <v>0</v>
      </c>
      <c r="K239">
        <v>23</v>
      </c>
      <c r="L239" t="str">
        <f t="shared" si="12"/>
        <v>Safe</v>
      </c>
      <c r="M239" t="str">
        <f t="shared" si="13"/>
        <v>Safe</v>
      </c>
      <c r="N239" t="str">
        <f t="shared" si="14"/>
        <v>Safe</v>
      </c>
      <c r="O239" t="str">
        <f t="shared" si="15"/>
        <v>Safe</v>
      </c>
    </row>
    <row r="240" spans="1:15" x14ac:dyDescent="0.35">
      <c r="A240" t="s">
        <v>249</v>
      </c>
      <c r="B240" s="1">
        <v>44769</v>
      </c>
      <c r="C240" t="s">
        <v>314</v>
      </c>
      <c r="D240" t="s">
        <v>318</v>
      </c>
      <c r="E240">
        <v>7</v>
      </c>
      <c r="F240">
        <v>877</v>
      </c>
      <c r="G240">
        <v>586</v>
      </c>
      <c r="H240">
        <v>178</v>
      </c>
      <c r="I240">
        <v>78</v>
      </c>
      <c r="J240">
        <v>7.0000000000000001E-3</v>
      </c>
      <c r="K240">
        <v>23</v>
      </c>
      <c r="L240" t="str">
        <f t="shared" si="12"/>
        <v>Safe</v>
      </c>
      <c r="M240" t="str">
        <f t="shared" si="13"/>
        <v>Unsafe</v>
      </c>
      <c r="N240" t="str">
        <f t="shared" si="14"/>
        <v>Safe</v>
      </c>
      <c r="O240" t="str">
        <f t="shared" si="15"/>
        <v>Contaminated</v>
      </c>
    </row>
    <row r="241" spans="1:15" x14ac:dyDescent="0.35">
      <c r="A241" t="s">
        <v>250</v>
      </c>
      <c r="B241" s="1">
        <v>44821</v>
      </c>
      <c r="C241" t="s">
        <v>313</v>
      </c>
      <c r="D241" t="s">
        <v>318</v>
      </c>
      <c r="E241">
        <v>7.1</v>
      </c>
      <c r="F241">
        <v>286</v>
      </c>
      <c r="G241">
        <v>441</v>
      </c>
      <c r="H241">
        <v>61</v>
      </c>
      <c r="I241">
        <v>56</v>
      </c>
      <c r="J241">
        <v>0.02</v>
      </c>
      <c r="K241">
        <v>12</v>
      </c>
      <c r="L241" t="str">
        <f t="shared" si="12"/>
        <v>Safe</v>
      </c>
      <c r="M241" t="str">
        <f t="shared" si="13"/>
        <v>Unsafe</v>
      </c>
      <c r="N241" t="str">
        <f t="shared" si="14"/>
        <v>Unsafe</v>
      </c>
      <c r="O241" t="str">
        <f t="shared" si="15"/>
        <v>Contaminated</v>
      </c>
    </row>
    <row r="242" spans="1:15" x14ac:dyDescent="0.35">
      <c r="A242" t="s">
        <v>251</v>
      </c>
      <c r="B242" s="1">
        <v>44696</v>
      </c>
      <c r="C242" t="s">
        <v>311</v>
      </c>
      <c r="D242" t="s">
        <v>315</v>
      </c>
      <c r="E242">
        <v>8.6999999999999993</v>
      </c>
      <c r="F242">
        <v>1629</v>
      </c>
      <c r="G242">
        <v>622</v>
      </c>
      <c r="H242">
        <v>240</v>
      </c>
      <c r="I242">
        <v>53</v>
      </c>
      <c r="J242">
        <v>4.0000000000000001E-3</v>
      </c>
      <c r="K242">
        <v>26</v>
      </c>
      <c r="L242" t="str">
        <f t="shared" si="12"/>
        <v>Unsafe</v>
      </c>
      <c r="M242" t="str">
        <f t="shared" si="13"/>
        <v>Unsafe</v>
      </c>
      <c r="N242" t="str">
        <f t="shared" si="14"/>
        <v>Safe</v>
      </c>
      <c r="O242" t="str">
        <f t="shared" si="15"/>
        <v>Contaminated</v>
      </c>
    </row>
    <row r="243" spans="1:15" x14ac:dyDescent="0.35">
      <c r="A243" t="s">
        <v>252</v>
      </c>
      <c r="B243" s="1">
        <v>44623</v>
      </c>
      <c r="C243" t="s">
        <v>314</v>
      </c>
      <c r="D243" t="s">
        <v>312</v>
      </c>
      <c r="E243">
        <v>8.8000000000000007</v>
      </c>
      <c r="F243">
        <v>823</v>
      </c>
      <c r="G243">
        <v>826</v>
      </c>
      <c r="H243">
        <v>159</v>
      </c>
      <c r="I243">
        <v>33</v>
      </c>
      <c r="J243">
        <v>1E-3</v>
      </c>
      <c r="K243">
        <v>14</v>
      </c>
      <c r="L243" t="str">
        <f t="shared" si="12"/>
        <v>Unsafe</v>
      </c>
      <c r="M243" t="str">
        <f t="shared" si="13"/>
        <v>Safe</v>
      </c>
      <c r="N243" t="str">
        <f t="shared" si="14"/>
        <v>Safe</v>
      </c>
      <c r="O243" t="str">
        <f t="shared" si="15"/>
        <v>Contaminated</v>
      </c>
    </row>
    <row r="244" spans="1:15" x14ac:dyDescent="0.35">
      <c r="A244" t="s">
        <v>253</v>
      </c>
      <c r="B244" s="1">
        <v>44794</v>
      </c>
      <c r="C244" t="s">
        <v>317</v>
      </c>
      <c r="D244" t="s">
        <v>315</v>
      </c>
      <c r="E244">
        <v>7.7</v>
      </c>
      <c r="F244">
        <v>551</v>
      </c>
      <c r="G244">
        <v>745</v>
      </c>
      <c r="H244">
        <v>292</v>
      </c>
      <c r="I244">
        <v>59</v>
      </c>
      <c r="J244">
        <v>2E-3</v>
      </c>
      <c r="K244">
        <v>29</v>
      </c>
      <c r="L244" t="str">
        <f t="shared" si="12"/>
        <v>Safe</v>
      </c>
      <c r="M244" t="str">
        <f t="shared" si="13"/>
        <v>Unsafe</v>
      </c>
      <c r="N244" t="str">
        <f t="shared" si="14"/>
        <v>Safe</v>
      </c>
      <c r="O244" t="str">
        <f t="shared" si="15"/>
        <v>Contaminated</v>
      </c>
    </row>
    <row r="245" spans="1:15" x14ac:dyDescent="0.35">
      <c r="A245" t="s">
        <v>254</v>
      </c>
      <c r="B245" s="1">
        <v>44779</v>
      </c>
      <c r="C245" t="s">
        <v>313</v>
      </c>
      <c r="D245" t="s">
        <v>312</v>
      </c>
      <c r="E245">
        <v>7.6</v>
      </c>
      <c r="F245">
        <v>1340</v>
      </c>
      <c r="G245">
        <v>545</v>
      </c>
      <c r="H245">
        <v>113</v>
      </c>
      <c r="I245">
        <v>69</v>
      </c>
      <c r="J245">
        <v>1.9E-2</v>
      </c>
      <c r="K245">
        <v>30</v>
      </c>
      <c r="L245" t="str">
        <f t="shared" si="12"/>
        <v>Safe</v>
      </c>
      <c r="M245" t="str">
        <f t="shared" si="13"/>
        <v>Unsafe</v>
      </c>
      <c r="N245" t="str">
        <f t="shared" si="14"/>
        <v>Unsafe</v>
      </c>
      <c r="O245" t="str">
        <f t="shared" si="15"/>
        <v>Contaminated</v>
      </c>
    </row>
    <row r="246" spans="1:15" x14ac:dyDescent="0.35">
      <c r="A246" t="s">
        <v>255</v>
      </c>
      <c r="B246" s="1">
        <v>44752</v>
      </c>
      <c r="C246" t="s">
        <v>314</v>
      </c>
      <c r="D246" t="s">
        <v>312</v>
      </c>
      <c r="E246">
        <v>6.2</v>
      </c>
      <c r="F246">
        <v>304</v>
      </c>
      <c r="G246">
        <v>389</v>
      </c>
      <c r="H246">
        <v>386</v>
      </c>
      <c r="I246">
        <v>5</v>
      </c>
      <c r="J246">
        <v>1.0999999999999999E-2</v>
      </c>
      <c r="K246">
        <v>12</v>
      </c>
      <c r="L246" t="str">
        <f t="shared" si="12"/>
        <v>Unsafe</v>
      </c>
      <c r="M246" t="str">
        <f t="shared" si="13"/>
        <v>Safe</v>
      </c>
      <c r="N246" t="str">
        <f t="shared" si="14"/>
        <v>Unsafe</v>
      </c>
      <c r="O246" t="str">
        <f t="shared" si="15"/>
        <v>Contaminated</v>
      </c>
    </row>
    <row r="247" spans="1:15" x14ac:dyDescent="0.35">
      <c r="A247" t="s">
        <v>256</v>
      </c>
      <c r="B247" s="1">
        <v>44838</v>
      </c>
      <c r="C247" t="s">
        <v>314</v>
      </c>
      <c r="D247" t="s">
        <v>318</v>
      </c>
      <c r="E247">
        <v>8.4</v>
      </c>
      <c r="F247">
        <v>1489</v>
      </c>
      <c r="G247">
        <v>144</v>
      </c>
      <c r="H247">
        <v>362</v>
      </c>
      <c r="I247">
        <v>24</v>
      </c>
      <c r="J247">
        <v>1.4999999999999999E-2</v>
      </c>
      <c r="K247">
        <v>35</v>
      </c>
      <c r="L247" t="str">
        <f t="shared" si="12"/>
        <v>Safe</v>
      </c>
      <c r="M247" t="str">
        <f t="shared" si="13"/>
        <v>Safe</v>
      </c>
      <c r="N247" t="str">
        <f t="shared" si="14"/>
        <v>Unsafe</v>
      </c>
      <c r="O247" t="str">
        <f t="shared" si="15"/>
        <v>Contaminated</v>
      </c>
    </row>
    <row r="248" spans="1:15" x14ac:dyDescent="0.35">
      <c r="A248" t="s">
        <v>257</v>
      </c>
      <c r="B248" s="1">
        <v>44813</v>
      </c>
      <c r="C248" t="s">
        <v>311</v>
      </c>
      <c r="D248" t="s">
        <v>312</v>
      </c>
      <c r="E248">
        <v>6.7</v>
      </c>
      <c r="F248">
        <v>600</v>
      </c>
      <c r="G248">
        <v>852</v>
      </c>
      <c r="H248">
        <v>386</v>
      </c>
      <c r="I248">
        <v>21</v>
      </c>
      <c r="J248">
        <v>3.0000000000000001E-3</v>
      </c>
      <c r="K248">
        <v>28</v>
      </c>
      <c r="L248" t="str">
        <f t="shared" si="12"/>
        <v>Safe</v>
      </c>
      <c r="M248" t="str">
        <f t="shared" si="13"/>
        <v>Safe</v>
      </c>
      <c r="N248" t="str">
        <f t="shared" si="14"/>
        <v>Safe</v>
      </c>
      <c r="O248" t="str">
        <f t="shared" si="15"/>
        <v>Safe</v>
      </c>
    </row>
    <row r="249" spans="1:15" x14ac:dyDescent="0.35">
      <c r="A249" t="s">
        <v>258</v>
      </c>
      <c r="B249" s="1">
        <v>44611</v>
      </c>
      <c r="C249" t="s">
        <v>314</v>
      </c>
      <c r="D249" t="s">
        <v>315</v>
      </c>
      <c r="E249">
        <v>6</v>
      </c>
      <c r="F249">
        <v>732</v>
      </c>
      <c r="G249">
        <v>550</v>
      </c>
      <c r="H249">
        <v>380</v>
      </c>
      <c r="I249">
        <v>44</v>
      </c>
      <c r="J249">
        <v>1.0999999999999999E-2</v>
      </c>
      <c r="K249">
        <v>12</v>
      </c>
      <c r="L249" t="str">
        <f t="shared" si="12"/>
        <v>Unsafe</v>
      </c>
      <c r="M249" t="str">
        <f t="shared" si="13"/>
        <v>Safe</v>
      </c>
      <c r="N249" t="str">
        <f t="shared" si="14"/>
        <v>Unsafe</v>
      </c>
      <c r="O249" t="str">
        <f t="shared" si="15"/>
        <v>Contaminated</v>
      </c>
    </row>
    <row r="250" spans="1:15" x14ac:dyDescent="0.35">
      <c r="A250" t="s">
        <v>259</v>
      </c>
      <c r="B250" s="1">
        <v>44872</v>
      </c>
      <c r="C250" t="s">
        <v>311</v>
      </c>
      <c r="D250" t="s">
        <v>315</v>
      </c>
      <c r="E250">
        <v>7.8</v>
      </c>
      <c r="F250">
        <v>1203</v>
      </c>
      <c r="G250">
        <v>1067</v>
      </c>
      <c r="H250">
        <v>237</v>
      </c>
      <c r="I250">
        <v>25</v>
      </c>
      <c r="J250">
        <v>1.6E-2</v>
      </c>
      <c r="K250">
        <v>29</v>
      </c>
      <c r="L250" t="str">
        <f t="shared" si="12"/>
        <v>Safe</v>
      </c>
      <c r="M250" t="str">
        <f t="shared" si="13"/>
        <v>Safe</v>
      </c>
      <c r="N250" t="str">
        <f t="shared" si="14"/>
        <v>Unsafe</v>
      </c>
      <c r="O250" t="str">
        <f t="shared" si="15"/>
        <v>Contaminated</v>
      </c>
    </row>
    <row r="251" spans="1:15" x14ac:dyDescent="0.35">
      <c r="A251" t="s">
        <v>260</v>
      </c>
      <c r="B251" s="1">
        <v>44832</v>
      </c>
      <c r="C251" t="s">
        <v>316</v>
      </c>
      <c r="D251" t="s">
        <v>318</v>
      </c>
      <c r="E251">
        <v>7.1</v>
      </c>
      <c r="F251">
        <v>972</v>
      </c>
      <c r="G251">
        <v>886</v>
      </c>
      <c r="H251">
        <v>65</v>
      </c>
      <c r="I251">
        <v>4</v>
      </c>
      <c r="J251">
        <v>1E-3</v>
      </c>
      <c r="K251">
        <v>27</v>
      </c>
      <c r="L251" t="str">
        <f t="shared" si="12"/>
        <v>Safe</v>
      </c>
      <c r="M251" t="str">
        <f t="shared" si="13"/>
        <v>Safe</v>
      </c>
      <c r="N251" t="str">
        <f t="shared" si="14"/>
        <v>Safe</v>
      </c>
      <c r="O251" t="str">
        <f t="shared" si="15"/>
        <v>Safe</v>
      </c>
    </row>
    <row r="252" spans="1:15" x14ac:dyDescent="0.35">
      <c r="A252" t="s">
        <v>261</v>
      </c>
      <c r="B252" s="1">
        <v>44879</v>
      </c>
      <c r="C252" t="s">
        <v>314</v>
      </c>
      <c r="D252" t="s">
        <v>312</v>
      </c>
      <c r="E252">
        <v>6.7</v>
      </c>
      <c r="F252">
        <v>294</v>
      </c>
      <c r="G252">
        <v>763</v>
      </c>
      <c r="H252">
        <v>96</v>
      </c>
      <c r="I252">
        <v>16</v>
      </c>
      <c r="J252">
        <v>1.7999999999999999E-2</v>
      </c>
      <c r="K252">
        <v>15</v>
      </c>
      <c r="L252" t="str">
        <f t="shared" si="12"/>
        <v>Safe</v>
      </c>
      <c r="M252" t="str">
        <f t="shared" si="13"/>
        <v>Safe</v>
      </c>
      <c r="N252" t="str">
        <f t="shared" si="14"/>
        <v>Unsafe</v>
      </c>
      <c r="O252" t="str">
        <f t="shared" si="15"/>
        <v>Contaminated</v>
      </c>
    </row>
    <row r="253" spans="1:15" x14ac:dyDescent="0.35">
      <c r="A253" t="s">
        <v>262</v>
      </c>
      <c r="B253" s="1">
        <v>44641</v>
      </c>
      <c r="C253" t="s">
        <v>314</v>
      </c>
      <c r="D253" t="s">
        <v>312</v>
      </c>
      <c r="E253">
        <v>7.2</v>
      </c>
      <c r="F253">
        <v>1545</v>
      </c>
      <c r="G253">
        <v>287</v>
      </c>
      <c r="H253">
        <v>243</v>
      </c>
      <c r="I253">
        <v>32</v>
      </c>
      <c r="J253">
        <v>0.01</v>
      </c>
      <c r="K253">
        <v>15</v>
      </c>
      <c r="L253" t="str">
        <f t="shared" si="12"/>
        <v>Safe</v>
      </c>
      <c r="M253" t="str">
        <f t="shared" si="13"/>
        <v>Safe</v>
      </c>
      <c r="N253" t="str">
        <f t="shared" si="14"/>
        <v>Safe</v>
      </c>
      <c r="O253" t="str">
        <f t="shared" si="15"/>
        <v>Safe</v>
      </c>
    </row>
    <row r="254" spans="1:15" x14ac:dyDescent="0.35">
      <c r="A254" t="s">
        <v>263</v>
      </c>
      <c r="B254" s="1">
        <v>44615</v>
      </c>
      <c r="C254" t="s">
        <v>316</v>
      </c>
      <c r="D254" t="s">
        <v>318</v>
      </c>
      <c r="E254">
        <v>6.7</v>
      </c>
      <c r="F254">
        <v>1425</v>
      </c>
      <c r="G254">
        <v>496</v>
      </c>
      <c r="H254">
        <v>309</v>
      </c>
      <c r="I254">
        <v>63</v>
      </c>
      <c r="J254">
        <v>3.0000000000000001E-3</v>
      </c>
      <c r="K254">
        <v>10</v>
      </c>
      <c r="L254" t="str">
        <f t="shared" si="12"/>
        <v>Safe</v>
      </c>
      <c r="M254" t="str">
        <f t="shared" si="13"/>
        <v>Unsafe</v>
      </c>
      <c r="N254" t="str">
        <f t="shared" si="14"/>
        <v>Safe</v>
      </c>
      <c r="O254" t="str">
        <f t="shared" si="15"/>
        <v>Contaminated</v>
      </c>
    </row>
    <row r="255" spans="1:15" x14ac:dyDescent="0.35">
      <c r="A255" t="s">
        <v>264</v>
      </c>
      <c r="B255" s="1">
        <v>44606</v>
      </c>
      <c r="C255" t="s">
        <v>316</v>
      </c>
      <c r="D255" t="s">
        <v>312</v>
      </c>
      <c r="E255">
        <v>7.9</v>
      </c>
      <c r="F255">
        <v>1215</v>
      </c>
      <c r="G255">
        <v>701</v>
      </c>
      <c r="H255">
        <v>226</v>
      </c>
      <c r="I255">
        <v>12</v>
      </c>
      <c r="J255">
        <v>1E-3</v>
      </c>
      <c r="K255">
        <v>23</v>
      </c>
      <c r="L255" t="str">
        <f t="shared" si="12"/>
        <v>Safe</v>
      </c>
      <c r="M255" t="str">
        <f t="shared" si="13"/>
        <v>Safe</v>
      </c>
      <c r="N255" t="str">
        <f t="shared" si="14"/>
        <v>Safe</v>
      </c>
      <c r="O255" t="str">
        <f t="shared" si="15"/>
        <v>Safe</v>
      </c>
    </row>
    <row r="256" spans="1:15" x14ac:dyDescent="0.35">
      <c r="A256" t="s">
        <v>265</v>
      </c>
      <c r="B256" s="1">
        <v>44574</v>
      </c>
      <c r="C256" t="s">
        <v>317</v>
      </c>
      <c r="D256" t="s">
        <v>315</v>
      </c>
      <c r="E256">
        <v>6.9</v>
      </c>
      <c r="F256">
        <v>1582</v>
      </c>
      <c r="G256">
        <v>219</v>
      </c>
      <c r="H256">
        <v>116</v>
      </c>
      <c r="I256">
        <v>28</v>
      </c>
      <c r="J256">
        <v>1.2E-2</v>
      </c>
      <c r="K256">
        <v>16</v>
      </c>
      <c r="L256" t="str">
        <f t="shared" si="12"/>
        <v>Safe</v>
      </c>
      <c r="M256" t="str">
        <f t="shared" si="13"/>
        <v>Safe</v>
      </c>
      <c r="N256" t="str">
        <f t="shared" si="14"/>
        <v>Unsafe</v>
      </c>
      <c r="O256" t="str">
        <f t="shared" si="15"/>
        <v>Contaminated</v>
      </c>
    </row>
    <row r="257" spans="1:15" x14ac:dyDescent="0.35">
      <c r="A257" t="s">
        <v>266</v>
      </c>
      <c r="B257" s="1">
        <v>44595</v>
      </c>
      <c r="C257" t="s">
        <v>316</v>
      </c>
      <c r="D257" t="s">
        <v>318</v>
      </c>
      <c r="E257">
        <v>8.8000000000000007</v>
      </c>
      <c r="F257">
        <v>1012</v>
      </c>
      <c r="G257">
        <v>525</v>
      </c>
      <c r="H257">
        <v>361</v>
      </c>
      <c r="I257">
        <v>61</v>
      </c>
      <c r="J257">
        <v>2E-3</v>
      </c>
      <c r="K257">
        <v>20</v>
      </c>
      <c r="L257" t="str">
        <f t="shared" si="12"/>
        <v>Unsafe</v>
      </c>
      <c r="M257" t="str">
        <f t="shared" si="13"/>
        <v>Unsafe</v>
      </c>
      <c r="N257" t="str">
        <f t="shared" si="14"/>
        <v>Safe</v>
      </c>
      <c r="O257" t="str">
        <f t="shared" si="15"/>
        <v>Contaminated</v>
      </c>
    </row>
    <row r="258" spans="1:15" x14ac:dyDescent="0.35">
      <c r="A258" t="s">
        <v>267</v>
      </c>
      <c r="B258" s="1">
        <v>44775</v>
      </c>
      <c r="C258" t="s">
        <v>314</v>
      </c>
      <c r="D258" t="s">
        <v>315</v>
      </c>
      <c r="E258">
        <v>8.3000000000000007</v>
      </c>
      <c r="F258">
        <v>747</v>
      </c>
      <c r="G258">
        <v>1162</v>
      </c>
      <c r="H258">
        <v>339</v>
      </c>
      <c r="I258">
        <v>41</v>
      </c>
      <c r="J258">
        <v>7.0000000000000001E-3</v>
      </c>
      <c r="K258">
        <v>28</v>
      </c>
      <c r="L258" t="str">
        <f t="shared" si="12"/>
        <v>Safe</v>
      </c>
      <c r="M258" t="str">
        <f t="shared" si="13"/>
        <v>Safe</v>
      </c>
      <c r="N258" t="str">
        <f t="shared" si="14"/>
        <v>Safe</v>
      </c>
      <c r="O258" t="str">
        <f t="shared" si="15"/>
        <v>Safe</v>
      </c>
    </row>
    <row r="259" spans="1:15" x14ac:dyDescent="0.35">
      <c r="A259" t="s">
        <v>268</v>
      </c>
      <c r="B259" s="1">
        <v>44737</v>
      </c>
      <c r="C259" t="s">
        <v>317</v>
      </c>
      <c r="D259" t="s">
        <v>315</v>
      </c>
      <c r="E259">
        <v>6.9</v>
      </c>
      <c r="F259">
        <v>1157</v>
      </c>
      <c r="G259">
        <v>1095</v>
      </c>
      <c r="H259">
        <v>75</v>
      </c>
      <c r="I259">
        <v>13</v>
      </c>
      <c r="J259">
        <v>1E-3</v>
      </c>
      <c r="K259">
        <v>35</v>
      </c>
      <c r="L259" t="str">
        <f t="shared" ref="L259:L301" si="16">IF(OR(E259&lt;6.5,E259&gt;8.5),"Unsafe","Safe")</f>
        <v>Safe</v>
      </c>
      <c r="M259" t="str">
        <f t="shared" ref="M259:M301" si="17">IF(I259&gt;50,"Unsafe","Safe")</f>
        <v>Safe</v>
      </c>
      <c r="N259" t="str">
        <f t="shared" ref="N259:N301" si="18">IF(J259&gt;0.01,"Unsafe","Safe")</f>
        <v>Safe</v>
      </c>
      <c r="O259" t="str">
        <f t="shared" ref="O259:O301" si="19">IF(OR(L259="Unsafe",M259="Unsafe",N259="Unsafe"),"Contaminated","Safe")</f>
        <v>Safe</v>
      </c>
    </row>
    <row r="260" spans="1:15" x14ac:dyDescent="0.35">
      <c r="A260" t="s">
        <v>269</v>
      </c>
      <c r="B260" s="1">
        <v>44570</v>
      </c>
      <c r="C260" t="s">
        <v>311</v>
      </c>
      <c r="D260" t="s">
        <v>315</v>
      </c>
      <c r="E260">
        <v>8.8000000000000007</v>
      </c>
      <c r="F260">
        <v>1609</v>
      </c>
      <c r="G260">
        <v>396</v>
      </c>
      <c r="H260">
        <v>218</v>
      </c>
      <c r="I260">
        <v>58</v>
      </c>
      <c r="J260">
        <v>1.7999999999999999E-2</v>
      </c>
      <c r="K260">
        <v>25</v>
      </c>
      <c r="L260" t="str">
        <f t="shared" si="16"/>
        <v>Unsafe</v>
      </c>
      <c r="M260" t="str">
        <f t="shared" si="17"/>
        <v>Unsafe</v>
      </c>
      <c r="N260" t="str">
        <f t="shared" si="18"/>
        <v>Unsafe</v>
      </c>
      <c r="O260" t="str">
        <f t="shared" si="19"/>
        <v>Contaminated</v>
      </c>
    </row>
    <row r="261" spans="1:15" x14ac:dyDescent="0.35">
      <c r="A261" t="s">
        <v>270</v>
      </c>
      <c r="B261" s="1">
        <v>44917</v>
      </c>
      <c r="C261" t="s">
        <v>314</v>
      </c>
      <c r="D261" t="s">
        <v>318</v>
      </c>
      <c r="E261">
        <v>8.9</v>
      </c>
      <c r="F261">
        <v>684</v>
      </c>
      <c r="G261">
        <v>568</v>
      </c>
      <c r="H261">
        <v>221</v>
      </c>
      <c r="I261">
        <v>80</v>
      </c>
      <c r="J261">
        <v>1.4999999999999999E-2</v>
      </c>
      <c r="K261">
        <v>25</v>
      </c>
      <c r="L261" t="str">
        <f t="shared" si="16"/>
        <v>Unsafe</v>
      </c>
      <c r="M261" t="str">
        <f t="shared" si="17"/>
        <v>Unsafe</v>
      </c>
      <c r="N261" t="str">
        <f t="shared" si="18"/>
        <v>Unsafe</v>
      </c>
      <c r="O261" t="str">
        <f t="shared" si="19"/>
        <v>Contaminated</v>
      </c>
    </row>
    <row r="262" spans="1:15" x14ac:dyDescent="0.35">
      <c r="A262" t="s">
        <v>271</v>
      </c>
      <c r="B262" s="1">
        <v>44684</v>
      </c>
      <c r="C262" t="s">
        <v>316</v>
      </c>
      <c r="D262" t="s">
        <v>315</v>
      </c>
      <c r="E262">
        <v>7.6</v>
      </c>
      <c r="F262">
        <v>520</v>
      </c>
      <c r="G262">
        <v>529</v>
      </c>
      <c r="H262">
        <v>165</v>
      </c>
      <c r="I262">
        <v>58</v>
      </c>
      <c r="J262">
        <v>1.2E-2</v>
      </c>
      <c r="K262">
        <v>25</v>
      </c>
      <c r="L262" t="str">
        <f t="shared" si="16"/>
        <v>Safe</v>
      </c>
      <c r="M262" t="str">
        <f t="shared" si="17"/>
        <v>Unsafe</v>
      </c>
      <c r="N262" t="str">
        <f t="shared" si="18"/>
        <v>Unsafe</v>
      </c>
      <c r="O262" t="str">
        <f t="shared" si="19"/>
        <v>Contaminated</v>
      </c>
    </row>
    <row r="263" spans="1:15" x14ac:dyDescent="0.35">
      <c r="A263" t="s">
        <v>272</v>
      </c>
      <c r="B263" s="1">
        <v>44738</v>
      </c>
      <c r="C263" t="s">
        <v>314</v>
      </c>
      <c r="D263" t="s">
        <v>312</v>
      </c>
      <c r="E263">
        <v>9</v>
      </c>
      <c r="F263">
        <v>622</v>
      </c>
      <c r="G263">
        <v>1129</v>
      </c>
      <c r="H263">
        <v>169</v>
      </c>
      <c r="I263">
        <v>53</v>
      </c>
      <c r="J263">
        <v>3.0000000000000001E-3</v>
      </c>
      <c r="K263">
        <v>12</v>
      </c>
      <c r="L263" t="str">
        <f t="shared" si="16"/>
        <v>Unsafe</v>
      </c>
      <c r="M263" t="str">
        <f t="shared" si="17"/>
        <v>Unsafe</v>
      </c>
      <c r="N263" t="str">
        <f t="shared" si="18"/>
        <v>Safe</v>
      </c>
      <c r="O263" t="str">
        <f t="shared" si="19"/>
        <v>Contaminated</v>
      </c>
    </row>
    <row r="264" spans="1:15" x14ac:dyDescent="0.35">
      <c r="A264" t="s">
        <v>273</v>
      </c>
      <c r="B264" s="1">
        <v>44731</v>
      </c>
      <c r="C264" t="s">
        <v>314</v>
      </c>
      <c r="D264" t="s">
        <v>315</v>
      </c>
      <c r="E264">
        <v>7.1</v>
      </c>
      <c r="F264">
        <v>1152</v>
      </c>
      <c r="G264">
        <v>273</v>
      </c>
      <c r="H264">
        <v>328</v>
      </c>
      <c r="I264">
        <v>54</v>
      </c>
      <c r="J264">
        <v>8.0000000000000002E-3</v>
      </c>
      <c r="K264">
        <v>12</v>
      </c>
      <c r="L264" t="str">
        <f t="shared" si="16"/>
        <v>Safe</v>
      </c>
      <c r="M264" t="str">
        <f t="shared" si="17"/>
        <v>Unsafe</v>
      </c>
      <c r="N264" t="str">
        <f t="shared" si="18"/>
        <v>Safe</v>
      </c>
      <c r="O264" t="str">
        <f t="shared" si="19"/>
        <v>Contaminated</v>
      </c>
    </row>
    <row r="265" spans="1:15" x14ac:dyDescent="0.35">
      <c r="A265" t="s">
        <v>274</v>
      </c>
      <c r="B265" s="1">
        <v>44626</v>
      </c>
      <c r="C265" t="s">
        <v>314</v>
      </c>
      <c r="D265" t="s">
        <v>315</v>
      </c>
      <c r="E265">
        <v>7.8</v>
      </c>
      <c r="F265">
        <v>406</v>
      </c>
      <c r="G265">
        <v>778</v>
      </c>
      <c r="H265">
        <v>231</v>
      </c>
      <c r="I265">
        <v>38</v>
      </c>
      <c r="J265">
        <v>3.0000000000000001E-3</v>
      </c>
      <c r="K265">
        <v>34</v>
      </c>
      <c r="L265" t="str">
        <f t="shared" si="16"/>
        <v>Safe</v>
      </c>
      <c r="M265" t="str">
        <f t="shared" si="17"/>
        <v>Safe</v>
      </c>
      <c r="N265" t="str">
        <f t="shared" si="18"/>
        <v>Safe</v>
      </c>
      <c r="O265" t="str">
        <f t="shared" si="19"/>
        <v>Safe</v>
      </c>
    </row>
    <row r="266" spans="1:15" x14ac:dyDescent="0.35">
      <c r="A266" t="s">
        <v>275</v>
      </c>
      <c r="B266" s="1">
        <v>44642</v>
      </c>
      <c r="C266" t="s">
        <v>317</v>
      </c>
      <c r="D266" t="s">
        <v>312</v>
      </c>
      <c r="E266">
        <v>8.4</v>
      </c>
      <c r="F266">
        <v>1442</v>
      </c>
      <c r="G266">
        <v>278</v>
      </c>
      <c r="H266">
        <v>251</v>
      </c>
      <c r="I266">
        <v>70</v>
      </c>
      <c r="J266">
        <v>1.4999999999999999E-2</v>
      </c>
      <c r="K266">
        <v>14</v>
      </c>
      <c r="L266" t="str">
        <f t="shared" si="16"/>
        <v>Safe</v>
      </c>
      <c r="M266" t="str">
        <f t="shared" si="17"/>
        <v>Unsafe</v>
      </c>
      <c r="N266" t="str">
        <f t="shared" si="18"/>
        <v>Unsafe</v>
      </c>
      <c r="O266" t="str">
        <f t="shared" si="19"/>
        <v>Contaminated</v>
      </c>
    </row>
    <row r="267" spans="1:15" x14ac:dyDescent="0.35">
      <c r="A267" t="s">
        <v>276</v>
      </c>
      <c r="B267" s="1">
        <v>44719</v>
      </c>
      <c r="C267" t="s">
        <v>316</v>
      </c>
      <c r="D267" t="s">
        <v>315</v>
      </c>
      <c r="E267">
        <v>7.8</v>
      </c>
      <c r="F267">
        <v>985</v>
      </c>
      <c r="G267">
        <v>651</v>
      </c>
      <c r="H267">
        <v>296</v>
      </c>
      <c r="I267">
        <v>13</v>
      </c>
      <c r="J267">
        <v>0.02</v>
      </c>
      <c r="K267">
        <v>20</v>
      </c>
      <c r="L267" t="str">
        <f t="shared" si="16"/>
        <v>Safe</v>
      </c>
      <c r="M267" t="str">
        <f t="shared" si="17"/>
        <v>Safe</v>
      </c>
      <c r="N267" t="str">
        <f t="shared" si="18"/>
        <v>Unsafe</v>
      </c>
      <c r="O267" t="str">
        <f t="shared" si="19"/>
        <v>Contaminated</v>
      </c>
    </row>
    <row r="268" spans="1:15" x14ac:dyDescent="0.35">
      <c r="A268" t="s">
        <v>277</v>
      </c>
      <c r="B268" s="1">
        <v>44647</v>
      </c>
      <c r="C268" t="s">
        <v>314</v>
      </c>
      <c r="D268" t="s">
        <v>315</v>
      </c>
      <c r="E268">
        <v>7.6</v>
      </c>
      <c r="F268">
        <v>634</v>
      </c>
      <c r="G268">
        <v>623</v>
      </c>
      <c r="H268">
        <v>202</v>
      </c>
      <c r="I268">
        <v>30</v>
      </c>
      <c r="J268">
        <v>1E-3</v>
      </c>
      <c r="K268">
        <v>28</v>
      </c>
      <c r="L268" t="str">
        <f t="shared" si="16"/>
        <v>Safe</v>
      </c>
      <c r="M268" t="str">
        <f t="shared" si="17"/>
        <v>Safe</v>
      </c>
      <c r="N268" t="str">
        <f t="shared" si="18"/>
        <v>Safe</v>
      </c>
      <c r="O268" t="str">
        <f t="shared" si="19"/>
        <v>Safe</v>
      </c>
    </row>
    <row r="269" spans="1:15" x14ac:dyDescent="0.35">
      <c r="A269" t="s">
        <v>278</v>
      </c>
      <c r="B269" s="1">
        <v>44814</v>
      </c>
      <c r="C269" t="s">
        <v>316</v>
      </c>
      <c r="D269" t="s">
        <v>312</v>
      </c>
      <c r="E269">
        <v>8.5</v>
      </c>
      <c r="F269">
        <v>801</v>
      </c>
      <c r="G269">
        <v>1185</v>
      </c>
      <c r="H269">
        <v>239</v>
      </c>
      <c r="I269">
        <v>20</v>
      </c>
      <c r="J269">
        <v>1.4E-2</v>
      </c>
      <c r="K269">
        <v>35</v>
      </c>
      <c r="L269" t="str">
        <f t="shared" si="16"/>
        <v>Safe</v>
      </c>
      <c r="M269" t="str">
        <f t="shared" si="17"/>
        <v>Safe</v>
      </c>
      <c r="N269" t="str">
        <f t="shared" si="18"/>
        <v>Unsafe</v>
      </c>
      <c r="O269" t="str">
        <f t="shared" si="19"/>
        <v>Contaminated</v>
      </c>
    </row>
    <row r="270" spans="1:15" x14ac:dyDescent="0.35">
      <c r="A270" t="s">
        <v>279</v>
      </c>
      <c r="B270" s="1">
        <v>44899</v>
      </c>
      <c r="C270" t="s">
        <v>314</v>
      </c>
      <c r="D270" t="s">
        <v>318</v>
      </c>
      <c r="E270">
        <v>6.3</v>
      </c>
      <c r="F270">
        <v>1562</v>
      </c>
      <c r="G270">
        <v>168</v>
      </c>
      <c r="H270">
        <v>89</v>
      </c>
      <c r="I270">
        <v>2</v>
      </c>
      <c r="J270">
        <v>5.0000000000000001E-3</v>
      </c>
      <c r="K270">
        <v>35</v>
      </c>
      <c r="L270" t="str">
        <f t="shared" si="16"/>
        <v>Unsafe</v>
      </c>
      <c r="M270" t="str">
        <f t="shared" si="17"/>
        <v>Safe</v>
      </c>
      <c r="N270" t="str">
        <f t="shared" si="18"/>
        <v>Safe</v>
      </c>
      <c r="O270" t="str">
        <f t="shared" si="19"/>
        <v>Contaminated</v>
      </c>
    </row>
    <row r="271" spans="1:15" x14ac:dyDescent="0.35">
      <c r="A271" t="s">
        <v>280</v>
      </c>
      <c r="B271" s="1">
        <v>44918</v>
      </c>
      <c r="C271" t="s">
        <v>314</v>
      </c>
      <c r="D271" t="s">
        <v>318</v>
      </c>
      <c r="E271">
        <v>7.5</v>
      </c>
      <c r="F271">
        <v>770</v>
      </c>
      <c r="G271">
        <v>362</v>
      </c>
      <c r="H271">
        <v>114</v>
      </c>
      <c r="I271">
        <v>3</v>
      </c>
      <c r="J271">
        <v>4.0000000000000001E-3</v>
      </c>
      <c r="K271">
        <v>26</v>
      </c>
      <c r="L271" t="str">
        <f t="shared" si="16"/>
        <v>Safe</v>
      </c>
      <c r="M271" t="str">
        <f t="shared" si="17"/>
        <v>Safe</v>
      </c>
      <c r="N271" t="str">
        <f t="shared" si="18"/>
        <v>Safe</v>
      </c>
      <c r="O271" t="str">
        <f t="shared" si="19"/>
        <v>Safe</v>
      </c>
    </row>
    <row r="272" spans="1:15" x14ac:dyDescent="0.35">
      <c r="A272" t="s">
        <v>281</v>
      </c>
      <c r="B272" s="1">
        <v>44727</v>
      </c>
      <c r="C272" t="s">
        <v>314</v>
      </c>
      <c r="D272" t="s">
        <v>318</v>
      </c>
      <c r="E272">
        <v>6.5</v>
      </c>
      <c r="F272">
        <v>1255</v>
      </c>
      <c r="G272">
        <v>1058</v>
      </c>
      <c r="H272">
        <v>135</v>
      </c>
      <c r="I272">
        <v>46</v>
      </c>
      <c r="J272">
        <v>1.9E-2</v>
      </c>
      <c r="K272">
        <v>26</v>
      </c>
      <c r="L272" t="str">
        <f t="shared" si="16"/>
        <v>Safe</v>
      </c>
      <c r="M272" t="str">
        <f t="shared" si="17"/>
        <v>Safe</v>
      </c>
      <c r="N272" t="str">
        <f t="shared" si="18"/>
        <v>Unsafe</v>
      </c>
      <c r="O272" t="str">
        <f t="shared" si="19"/>
        <v>Contaminated</v>
      </c>
    </row>
    <row r="273" spans="1:15" x14ac:dyDescent="0.35">
      <c r="A273" t="s">
        <v>282</v>
      </c>
      <c r="B273" s="1">
        <v>44849</v>
      </c>
      <c r="C273" t="s">
        <v>314</v>
      </c>
      <c r="D273" t="s">
        <v>312</v>
      </c>
      <c r="E273">
        <v>6.6</v>
      </c>
      <c r="F273">
        <v>428</v>
      </c>
      <c r="G273">
        <v>1011</v>
      </c>
      <c r="H273">
        <v>94</v>
      </c>
      <c r="I273">
        <v>65</v>
      </c>
      <c r="J273">
        <v>0.01</v>
      </c>
      <c r="K273">
        <v>20</v>
      </c>
      <c r="L273" t="str">
        <f t="shared" si="16"/>
        <v>Safe</v>
      </c>
      <c r="M273" t="str">
        <f t="shared" si="17"/>
        <v>Unsafe</v>
      </c>
      <c r="N273" t="str">
        <f t="shared" si="18"/>
        <v>Safe</v>
      </c>
      <c r="O273" t="str">
        <f t="shared" si="19"/>
        <v>Contaminated</v>
      </c>
    </row>
    <row r="274" spans="1:15" x14ac:dyDescent="0.35">
      <c r="A274" t="s">
        <v>283</v>
      </c>
      <c r="B274" s="1">
        <v>44815</v>
      </c>
      <c r="C274" t="s">
        <v>316</v>
      </c>
      <c r="D274" t="s">
        <v>315</v>
      </c>
      <c r="E274">
        <v>8.3000000000000007</v>
      </c>
      <c r="F274">
        <v>288</v>
      </c>
      <c r="G274">
        <v>767</v>
      </c>
      <c r="H274">
        <v>140</v>
      </c>
      <c r="I274">
        <v>78</v>
      </c>
      <c r="J274">
        <v>8.0000000000000002E-3</v>
      </c>
      <c r="K274">
        <v>22</v>
      </c>
      <c r="L274" t="str">
        <f t="shared" si="16"/>
        <v>Safe</v>
      </c>
      <c r="M274" t="str">
        <f t="shared" si="17"/>
        <v>Unsafe</v>
      </c>
      <c r="N274" t="str">
        <f t="shared" si="18"/>
        <v>Safe</v>
      </c>
      <c r="O274" t="str">
        <f t="shared" si="19"/>
        <v>Contaminated</v>
      </c>
    </row>
    <row r="275" spans="1:15" x14ac:dyDescent="0.35">
      <c r="A275" t="s">
        <v>284</v>
      </c>
      <c r="B275" s="1">
        <v>44882</v>
      </c>
      <c r="C275" t="s">
        <v>313</v>
      </c>
      <c r="D275" t="s">
        <v>315</v>
      </c>
      <c r="E275">
        <v>7.2</v>
      </c>
      <c r="F275">
        <v>324</v>
      </c>
      <c r="G275">
        <v>249</v>
      </c>
      <c r="H275">
        <v>284</v>
      </c>
      <c r="I275">
        <v>4</v>
      </c>
      <c r="J275">
        <v>1.9E-2</v>
      </c>
      <c r="K275">
        <v>20</v>
      </c>
      <c r="L275" t="str">
        <f t="shared" si="16"/>
        <v>Safe</v>
      </c>
      <c r="M275" t="str">
        <f t="shared" si="17"/>
        <v>Safe</v>
      </c>
      <c r="N275" t="str">
        <f t="shared" si="18"/>
        <v>Unsafe</v>
      </c>
      <c r="O275" t="str">
        <f t="shared" si="19"/>
        <v>Contaminated</v>
      </c>
    </row>
    <row r="276" spans="1:15" x14ac:dyDescent="0.35">
      <c r="A276" t="s">
        <v>285</v>
      </c>
      <c r="B276" s="1">
        <v>44724</v>
      </c>
      <c r="C276" t="s">
        <v>316</v>
      </c>
      <c r="D276" t="s">
        <v>318</v>
      </c>
      <c r="E276">
        <v>6.3</v>
      </c>
      <c r="F276">
        <v>1777</v>
      </c>
      <c r="G276">
        <v>926</v>
      </c>
      <c r="H276">
        <v>282</v>
      </c>
      <c r="I276">
        <v>36</v>
      </c>
      <c r="J276">
        <v>1.2999999999999999E-2</v>
      </c>
      <c r="K276">
        <v>14</v>
      </c>
      <c r="L276" t="str">
        <f t="shared" si="16"/>
        <v>Unsafe</v>
      </c>
      <c r="M276" t="str">
        <f t="shared" si="17"/>
        <v>Safe</v>
      </c>
      <c r="N276" t="str">
        <f t="shared" si="18"/>
        <v>Unsafe</v>
      </c>
      <c r="O276" t="str">
        <f t="shared" si="19"/>
        <v>Contaminated</v>
      </c>
    </row>
    <row r="277" spans="1:15" x14ac:dyDescent="0.35">
      <c r="A277" t="s">
        <v>286</v>
      </c>
      <c r="B277" s="1">
        <v>44602</v>
      </c>
      <c r="C277" t="s">
        <v>316</v>
      </c>
      <c r="D277" t="s">
        <v>312</v>
      </c>
      <c r="E277">
        <v>8.1999999999999993</v>
      </c>
      <c r="F277">
        <v>1041</v>
      </c>
      <c r="G277">
        <v>674</v>
      </c>
      <c r="H277">
        <v>351</v>
      </c>
      <c r="I277">
        <v>80</v>
      </c>
      <c r="J277">
        <v>8.9999999999999993E-3</v>
      </c>
      <c r="K277">
        <v>31</v>
      </c>
      <c r="L277" t="str">
        <f t="shared" si="16"/>
        <v>Safe</v>
      </c>
      <c r="M277" t="str">
        <f t="shared" si="17"/>
        <v>Unsafe</v>
      </c>
      <c r="N277" t="str">
        <f t="shared" si="18"/>
        <v>Safe</v>
      </c>
      <c r="O277" t="str">
        <f t="shared" si="19"/>
        <v>Contaminated</v>
      </c>
    </row>
    <row r="278" spans="1:15" x14ac:dyDescent="0.35">
      <c r="A278" t="s">
        <v>287</v>
      </c>
      <c r="B278" s="1">
        <v>44875</v>
      </c>
      <c r="C278" t="s">
        <v>317</v>
      </c>
      <c r="D278" t="s">
        <v>312</v>
      </c>
      <c r="E278">
        <v>6.8</v>
      </c>
      <c r="F278">
        <v>939</v>
      </c>
      <c r="G278">
        <v>557</v>
      </c>
      <c r="H278">
        <v>275</v>
      </c>
      <c r="I278">
        <v>10</v>
      </c>
      <c r="J278">
        <v>0.02</v>
      </c>
      <c r="K278">
        <v>18</v>
      </c>
      <c r="L278" t="str">
        <f t="shared" si="16"/>
        <v>Safe</v>
      </c>
      <c r="M278" t="str">
        <f t="shared" si="17"/>
        <v>Safe</v>
      </c>
      <c r="N278" t="str">
        <f t="shared" si="18"/>
        <v>Unsafe</v>
      </c>
      <c r="O278" t="str">
        <f t="shared" si="19"/>
        <v>Contaminated</v>
      </c>
    </row>
    <row r="279" spans="1:15" x14ac:dyDescent="0.35">
      <c r="A279" t="s">
        <v>288</v>
      </c>
      <c r="B279" s="1">
        <v>44714</v>
      </c>
      <c r="C279" t="s">
        <v>311</v>
      </c>
      <c r="D279" t="s">
        <v>312</v>
      </c>
      <c r="E279">
        <v>8.1</v>
      </c>
      <c r="F279">
        <v>1141</v>
      </c>
      <c r="G279">
        <v>847</v>
      </c>
      <c r="H279">
        <v>227</v>
      </c>
      <c r="I279">
        <v>61</v>
      </c>
      <c r="J279">
        <v>8.0000000000000002E-3</v>
      </c>
      <c r="K279">
        <v>22</v>
      </c>
      <c r="L279" t="str">
        <f t="shared" si="16"/>
        <v>Safe</v>
      </c>
      <c r="M279" t="str">
        <f t="shared" si="17"/>
        <v>Unsafe</v>
      </c>
      <c r="N279" t="str">
        <f t="shared" si="18"/>
        <v>Safe</v>
      </c>
      <c r="O279" t="str">
        <f t="shared" si="19"/>
        <v>Contaminated</v>
      </c>
    </row>
    <row r="280" spans="1:15" x14ac:dyDescent="0.35">
      <c r="A280" t="s">
        <v>289</v>
      </c>
      <c r="B280" s="1">
        <v>44829</v>
      </c>
      <c r="C280" t="s">
        <v>311</v>
      </c>
      <c r="D280" t="s">
        <v>318</v>
      </c>
      <c r="E280">
        <v>8.8000000000000007</v>
      </c>
      <c r="F280">
        <v>253</v>
      </c>
      <c r="G280">
        <v>875</v>
      </c>
      <c r="H280">
        <v>156</v>
      </c>
      <c r="I280">
        <v>21</v>
      </c>
      <c r="J280">
        <v>3.0000000000000001E-3</v>
      </c>
      <c r="K280">
        <v>11</v>
      </c>
      <c r="L280" t="str">
        <f t="shared" si="16"/>
        <v>Unsafe</v>
      </c>
      <c r="M280" t="str">
        <f t="shared" si="17"/>
        <v>Safe</v>
      </c>
      <c r="N280" t="str">
        <f t="shared" si="18"/>
        <v>Safe</v>
      </c>
      <c r="O280" t="str">
        <f t="shared" si="19"/>
        <v>Contaminated</v>
      </c>
    </row>
    <row r="281" spans="1:15" x14ac:dyDescent="0.35">
      <c r="A281" t="s">
        <v>290</v>
      </c>
      <c r="B281" s="1">
        <v>44765</v>
      </c>
      <c r="C281" t="s">
        <v>316</v>
      </c>
      <c r="D281" t="s">
        <v>318</v>
      </c>
      <c r="E281">
        <v>7.4</v>
      </c>
      <c r="F281">
        <v>1175</v>
      </c>
      <c r="G281">
        <v>972</v>
      </c>
      <c r="H281">
        <v>85</v>
      </c>
      <c r="I281">
        <v>49</v>
      </c>
      <c r="J281">
        <v>8.9999999999999993E-3</v>
      </c>
      <c r="K281">
        <v>11</v>
      </c>
      <c r="L281" t="str">
        <f t="shared" si="16"/>
        <v>Safe</v>
      </c>
      <c r="M281" t="str">
        <f t="shared" si="17"/>
        <v>Safe</v>
      </c>
      <c r="N281" t="str">
        <f t="shared" si="18"/>
        <v>Safe</v>
      </c>
      <c r="O281" t="str">
        <f t="shared" si="19"/>
        <v>Safe</v>
      </c>
    </row>
    <row r="282" spans="1:15" x14ac:dyDescent="0.35">
      <c r="A282" t="s">
        <v>291</v>
      </c>
      <c r="B282" s="1">
        <v>44819</v>
      </c>
      <c r="C282" t="s">
        <v>317</v>
      </c>
      <c r="D282" t="s">
        <v>315</v>
      </c>
      <c r="E282">
        <v>8.4</v>
      </c>
      <c r="F282">
        <v>361</v>
      </c>
      <c r="G282">
        <v>748</v>
      </c>
      <c r="H282">
        <v>286</v>
      </c>
      <c r="I282">
        <v>37</v>
      </c>
      <c r="J282">
        <v>6.0000000000000001E-3</v>
      </c>
      <c r="K282">
        <v>30</v>
      </c>
      <c r="L282" t="str">
        <f t="shared" si="16"/>
        <v>Safe</v>
      </c>
      <c r="M282" t="str">
        <f t="shared" si="17"/>
        <v>Safe</v>
      </c>
      <c r="N282" t="str">
        <f t="shared" si="18"/>
        <v>Safe</v>
      </c>
      <c r="O282" t="str">
        <f t="shared" si="19"/>
        <v>Safe</v>
      </c>
    </row>
    <row r="283" spans="1:15" x14ac:dyDescent="0.35">
      <c r="A283" t="s">
        <v>292</v>
      </c>
      <c r="B283" s="1">
        <v>44768</v>
      </c>
      <c r="C283" t="s">
        <v>317</v>
      </c>
      <c r="D283" t="s">
        <v>318</v>
      </c>
      <c r="E283">
        <v>8.1</v>
      </c>
      <c r="F283">
        <v>212</v>
      </c>
      <c r="G283">
        <v>948</v>
      </c>
      <c r="H283">
        <v>335</v>
      </c>
      <c r="I283">
        <v>74</v>
      </c>
      <c r="J283">
        <v>3.0000000000000001E-3</v>
      </c>
      <c r="K283">
        <v>26</v>
      </c>
      <c r="L283" t="str">
        <f t="shared" si="16"/>
        <v>Safe</v>
      </c>
      <c r="M283" t="str">
        <f t="shared" si="17"/>
        <v>Unsafe</v>
      </c>
      <c r="N283" t="str">
        <f t="shared" si="18"/>
        <v>Safe</v>
      </c>
      <c r="O283" t="str">
        <f t="shared" si="19"/>
        <v>Contaminated</v>
      </c>
    </row>
    <row r="284" spans="1:15" x14ac:dyDescent="0.35">
      <c r="A284" t="s">
        <v>293</v>
      </c>
      <c r="B284" s="1">
        <v>44658</v>
      </c>
      <c r="C284" t="s">
        <v>313</v>
      </c>
      <c r="D284" t="s">
        <v>315</v>
      </c>
      <c r="E284">
        <v>6.7</v>
      </c>
      <c r="F284">
        <v>768</v>
      </c>
      <c r="G284">
        <v>1055</v>
      </c>
      <c r="H284">
        <v>384</v>
      </c>
      <c r="I284">
        <v>55</v>
      </c>
      <c r="J284">
        <v>0.02</v>
      </c>
      <c r="K284">
        <v>20</v>
      </c>
      <c r="L284" t="str">
        <f t="shared" si="16"/>
        <v>Safe</v>
      </c>
      <c r="M284" t="str">
        <f t="shared" si="17"/>
        <v>Unsafe</v>
      </c>
      <c r="N284" t="str">
        <f t="shared" si="18"/>
        <v>Unsafe</v>
      </c>
      <c r="O284" t="str">
        <f t="shared" si="19"/>
        <v>Contaminated</v>
      </c>
    </row>
    <row r="285" spans="1:15" x14ac:dyDescent="0.35">
      <c r="A285" t="s">
        <v>294</v>
      </c>
      <c r="B285" s="1">
        <v>44764</v>
      </c>
      <c r="C285" t="s">
        <v>316</v>
      </c>
      <c r="D285" t="s">
        <v>312</v>
      </c>
      <c r="E285">
        <v>6.1</v>
      </c>
      <c r="F285">
        <v>1598</v>
      </c>
      <c r="G285">
        <v>910</v>
      </c>
      <c r="H285">
        <v>233</v>
      </c>
      <c r="I285">
        <v>25</v>
      </c>
      <c r="J285">
        <v>1.2E-2</v>
      </c>
      <c r="K285">
        <v>33</v>
      </c>
      <c r="L285" t="str">
        <f t="shared" si="16"/>
        <v>Unsafe</v>
      </c>
      <c r="M285" t="str">
        <f t="shared" si="17"/>
        <v>Safe</v>
      </c>
      <c r="N285" t="str">
        <f t="shared" si="18"/>
        <v>Unsafe</v>
      </c>
      <c r="O285" t="str">
        <f t="shared" si="19"/>
        <v>Contaminated</v>
      </c>
    </row>
    <row r="286" spans="1:15" x14ac:dyDescent="0.35">
      <c r="A286" t="s">
        <v>295</v>
      </c>
      <c r="B286" s="1">
        <v>44699</v>
      </c>
      <c r="C286" t="s">
        <v>317</v>
      </c>
      <c r="D286" t="s">
        <v>312</v>
      </c>
      <c r="E286">
        <v>8.1</v>
      </c>
      <c r="F286">
        <v>605</v>
      </c>
      <c r="G286">
        <v>141</v>
      </c>
      <c r="H286">
        <v>135</v>
      </c>
      <c r="I286">
        <v>50</v>
      </c>
      <c r="J286">
        <v>2E-3</v>
      </c>
      <c r="K286">
        <v>32</v>
      </c>
      <c r="L286" t="str">
        <f t="shared" si="16"/>
        <v>Safe</v>
      </c>
      <c r="M286" t="str">
        <f t="shared" si="17"/>
        <v>Safe</v>
      </c>
      <c r="N286" t="str">
        <f t="shared" si="18"/>
        <v>Safe</v>
      </c>
      <c r="O286" t="str">
        <f t="shared" si="19"/>
        <v>Safe</v>
      </c>
    </row>
    <row r="287" spans="1:15" x14ac:dyDescent="0.35">
      <c r="A287" t="s">
        <v>296</v>
      </c>
      <c r="B287" s="1">
        <v>44624</v>
      </c>
      <c r="C287" t="s">
        <v>314</v>
      </c>
      <c r="D287" t="s">
        <v>312</v>
      </c>
      <c r="E287">
        <v>7</v>
      </c>
      <c r="F287">
        <v>209</v>
      </c>
      <c r="G287">
        <v>892</v>
      </c>
      <c r="H287">
        <v>313</v>
      </c>
      <c r="I287">
        <v>66</v>
      </c>
      <c r="J287">
        <v>5.0000000000000001E-3</v>
      </c>
      <c r="K287">
        <v>16</v>
      </c>
      <c r="L287" t="str">
        <f t="shared" si="16"/>
        <v>Safe</v>
      </c>
      <c r="M287" t="str">
        <f t="shared" si="17"/>
        <v>Unsafe</v>
      </c>
      <c r="N287" t="str">
        <f t="shared" si="18"/>
        <v>Safe</v>
      </c>
      <c r="O287" t="str">
        <f t="shared" si="19"/>
        <v>Contaminated</v>
      </c>
    </row>
    <row r="288" spans="1:15" x14ac:dyDescent="0.35">
      <c r="A288" t="s">
        <v>297</v>
      </c>
      <c r="B288" s="1">
        <v>44740</v>
      </c>
      <c r="C288" t="s">
        <v>314</v>
      </c>
      <c r="D288" t="s">
        <v>318</v>
      </c>
      <c r="E288">
        <v>7.5</v>
      </c>
      <c r="F288">
        <v>1134</v>
      </c>
      <c r="G288">
        <v>919</v>
      </c>
      <c r="H288">
        <v>282</v>
      </c>
      <c r="I288">
        <v>79</v>
      </c>
      <c r="J288">
        <v>7.0000000000000001E-3</v>
      </c>
      <c r="K288">
        <v>23</v>
      </c>
      <c r="L288" t="str">
        <f t="shared" si="16"/>
        <v>Safe</v>
      </c>
      <c r="M288" t="str">
        <f t="shared" si="17"/>
        <v>Unsafe</v>
      </c>
      <c r="N288" t="str">
        <f t="shared" si="18"/>
        <v>Safe</v>
      </c>
      <c r="O288" t="str">
        <f t="shared" si="19"/>
        <v>Contaminated</v>
      </c>
    </row>
    <row r="289" spans="1:15" x14ac:dyDescent="0.35">
      <c r="A289" t="s">
        <v>298</v>
      </c>
      <c r="B289" s="1">
        <v>44616</v>
      </c>
      <c r="C289" t="s">
        <v>317</v>
      </c>
      <c r="D289" t="s">
        <v>312</v>
      </c>
      <c r="E289">
        <v>8.6</v>
      </c>
      <c r="F289">
        <v>331</v>
      </c>
      <c r="G289">
        <v>420</v>
      </c>
      <c r="H289">
        <v>300</v>
      </c>
      <c r="I289">
        <v>64</v>
      </c>
      <c r="J289">
        <v>1.2999999999999999E-2</v>
      </c>
      <c r="K289">
        <v>26</v>
      </c>
      <c r="L289" t="str">
        <f t="shared" si="16"/>
        <v>Unsafe</v>
      </c>
      <c r="M289" t="str">
        <f t="shared" si="17"/>
        <v>Unsafe</v>
      </c>
      <c r="N289" t="str">
        <f t="shared" si="18"/>
        <v>Unsafe</v>
      </c>
      <c r="O289" t="str">
        <f t="shared" si="19"/>
        <v>Contaminated</v>
      </c>
    </row>
    <row r="290" spans="1:15" x14ac:dyDescent="0.35">
      <c r="A290" t="s">
        <v>299</v>
      </c>
      <c r="B290" s="1">
        <v>44806</v>
      </c>
      <c r="C290" t="s">
        <v>313</v>
      </c>
      <c r="D290" t="s">
        <v>318</v>
      </c>
      <c r="E290">
        <v>6.8</v>
      </c>
      <c r="F290">
        <v>1344</v>
      </c>
      <c r="G290">
        <v>499</v>
      </c>
      <c r="H290">
        <v>325</v>
      </c>
      <c r="I290">
        <v>69</v>
      </c>
      <c r="J290">
        <v>1.2999999999999999E-2</v>
      </c>
      <c r="K290">
        <v>29</v>
      </c>
      <c r="L290" t="str">
        <f t="shared" si="16"/>
        <v>Safe</v>
      </c>
      <c r="M290" t="str">
        <f t="shared" si="17"/>
        <v>Unsafe</v>
      </c>
      <c r="N290" t="str">
        <f t="shared" si="18"/>
        <v>Unsafe</v>
      </c>
      <c r="O290" t="str">
        <f t="shared" si="19"/>
        <v>Contaminated</v>
      </c>
    </row>
    <row r="291" spans="1:15" x14ac:dyDescent="0.35">
      <c r="A291" t="s">
        <v>300</v>
      </c>
      <c r="B291" s="1">
        <v>44714</v>
      </c>
      <c r="C291" t="s">
        <v>313</v>
      </c>
      <c r="D291" t="s">
        <v>312</v>
      </c>
      <c r="E291">
        <v>6.2</v>
      </c>
      <c r="F291">
        <v>999</v>
      </c>
      <c r="G291">
        <v>370</v>
      </c>
      <c r="H291">
        <v>257</v>
      </c>
      <c r="I291">
        <v>53</v>
      </c>
      <c r="J291">
        <v>1E-3</v>
      </c>
      <c r="K291">
        <v>22</v>
      </c>
      <c r="L291" t="str">
        <f t="shared" si="16"/>
        <v>Unsafe</v>
      </c>
      <c r="M291" t="str">
        <f t="shared" si="17"/>
        <v>Unsafe</v>
      </c>
      <c r="N291" t="str">
        <f t="shared" si="18"/>
        <v>Safe</v>
      </c>
      <c r="O291" t="str">
        <f t="shared" si="19"/>
        <v>Contaminated</v>
      </c>
    </row>
    <row r="292" spans="1:15" x14ac:dyDescent="0.35">
      <c r="A292" t="s">
        <v>301</v>
      </c>
      <c r="B292" s="1">
        <v>44721</v>
      </c>
      <c r="C292" t="s">
        <v>317</v>
      </c>
      <c r="D292" t="s">
        <v>315</v>
      </c>
      <c r="E292">
        <v>6.2</v>
      </c>
      <c r="F292">
        <v>673</v>
      </c>
      <c r="G292">
        <v>371</v>
      </c>
      <c r="H292">
        <v>220</v>
      </c>
      <c r="I292">
        <v>30</v>
      </c>
      <c r="J292">
        <v>3.0000000000000001E-3</v>
      </c>
      <c r="K292">
        <v>33</v>
      </c>
      <c r="L292" t="str">
        <f t="shared" si="16"/>
        <v>Unsafe</v>
      </c>
      <c r="M292" t="str">
        <f t="shared" si="17"/>
        <v>Safe</v>
      </c>
      <c r="N292" t="str">
        <f t="shared" si="18"/>
        <v>Safe</v>
      </c>
      <c r="O292" t="str">
        <f t="shared" si="19"/>
        <v>Contaminated</v>
      </c>
    </row>
    <row r="293" spans="1:15" x14ac:dyDescent="0.35">
      <c r="A293" t="s">
        <v>302</v>
      </c>
      <c r="B293" s="1">
        <v>44837</v>
      </c>
      <c r="C293" t="s">
        <v>316</v>
      </c>
      <c r="D293" t="s">
        <v>315</v>
      </c>
      <c r="E293">
        <v>6.2</v>
      </c>
      <c r="F293">
        <v>412</v>
      </c>
      <c r="G293">
        <v>788</v>
      </c>
      <c r="H293">
        <v>250</v>
      </c>
      <c r="I293">
        <v>59</v>
      </c>
      <c r="J293">
        <v>5.0000000000000001E-3</v>
      </c>
      <c r="K293">
        <v>19</v>
      </c>
      <c r="L293" t="str">
        <f t="shared" si="16"/>
        <v>Unsafe</v>
      </c>
      <c r="M293" t="str">
        <f t="shared" si="17"/>
        <v>Unsafe</v>
      </c>
      <c r="N293" t="str">
        <f t="shared" si="18"/>
        <v>Safe</v>
      </c>
      <c r="O293" t="str">
        <f t="shared" si="19"/>
        <v>Contaminated</v>
      </c>
    </row>
    <row r="294" spans="1:15" x14ac:dyDescent="0.35">
      <c r="A294" t="s">
        <v>303</v>
      </c>
      <c r="B294" s="1">
        <v>44843</v>
      </c>
      <c r="C294" t="s">
        <v>313</v>
      </c>
      <c r="D294" t="s">
        <v>315</v>
      </c>
      <c r="E294">
        <v>7.6</v>
      </c>
      <c r="F294">
        <v>936</v>
      </c>
      <c r="G294">
        <v>1037</v>
      </c>
      <c r="H294">
        <v>365</v>
      </c>
      <c r="I294">
        <v>11</v>
      </c>
      <c r="J294">
        <v>1.7000000000000001E-2</v>
      </c>
      <c r="K294">
        <v>35</v>
      </c>
      <c r="L294" t="str">
        <f t="shared" si="16"/>
        <v>Safe</v>
      </c>
      <c r="M294" t="str">
        <f t="shared" si="17"/>
        <v>Safe</v>
      </c>
      <c r="N294" t="str">
        <f t="shared" si="18"/>
        <v>Unsafe</v>
      </c>
      <c r="O294" t="str">
        <f t="shared" si="19"/>
        <v>Contaminated</v>
      </c>
    </row>
    <row r="295" spans="1:15" x14ac:dyDescent="0.35">
      <c r="A295" t="s">
        <v>304</v>
      </c>
      <c r="B295" s="1">
        <v>44652</v>
      </c>
      <c r="C295" t="s">
        <v>313</v>
      </c>
      <c r="D295" t="s">
        <v>312</v>
      </c>
      <c r="E295">
        <v>9</v>
      </c>
      <c r="F295">
        <v>1171</v>
      </c>
      <c r="G295">
        <v>255</v>
      </c>
      <c r="H295">
        <v>206</v>
      </c>
      <c r="I295">
        <v>39</v>
      </c>
      <c r="J295">
        <v>1.7000000000000001E-2</v>
      </c>
      <c r="K295">
        <v>12</v>
      </c>
      <c r="L295" t="str">
        <f t="shared" si="16"/>
        <v>Unsafe</v>
      </c>
      <c r="M295" t="str">
        <f t="shared" si="17"/>
        <v>Safe</v>
      </c>
      <c r="N295" t="str">
        <f t="shared" si="18"/>
        <v>Unsafe</v>
      </c>
      <c r="O295" t="str">
        <f t="shared" si="19"/>
        <v>Contaminated</v>
      </c>
    </row>
    <row r="296" spans="1:15" x14ac:dyDescent="0.35">
      <c r="A296" t="s">
        <v>305</v>
      </c>
      <c r="B296" s="1">
        <v>44672</v>
      </c>
      <c r="C296" t="s">
        <v>313</v>
      </c>
      <c r="D296" t="s">
        <v>318</v>
      </c>
      <c r="E296">
        <v>6.3</v>
      </c>
      <c r="F296">
        <v>255</v>
      </c>
      <c r="G296">
        <v>328</v>
      </c>
      <c r="H296">
        <v>276</v>
      </c>
      <c r="I296">
        <v>26</v>
      </c>
      <c r="J296">
        <v>0.01</v>
      </c>
      <c r="K296">
        <v>12</v>
      </c>
      <c r="L296" t="str">
        <f t="shared" si="16"/>
        <v>Unsafe</v>
      </c>
      <c r="M296" t="str">
        <f t="shared" si="17"/>
        <v>Safe</v>
      </c>
      <c r="N296" t="str">
        <f t="shared" si="18"/>
        <v>Safe</v>
      </c>
      <c r="O296" t="str">
        <f t="shared" si="19"/>
        <v>Contaminated</v>
      </c>
    </row>
    <row r="297" spans="1:15" x14ac:dyDescent="0.35">
      <c r="A297" t="s">
        <v>306</v>
      </c>
      <c r="B297" s="1">
        <v>44875</v>
      </c>
      <c r="C297" t="s">
        <v>313</v>
      </c>
      <c r="D297" t="s">
        <v>312</v>
      </c>
      <c r="E297">
        <v>7.9</v>
      </c>
      <c r="F297">
        <v>875</v>
      </c>
      <c r="G297">
        <v>440</v>
      </c>
      <c r="H297">
        <v>291</v>
      </c>
      <c r="I297">
        <v>35</v>
      </c>
      <c r="J297">
        <v>5.0000000000000001E-3</v>
      </c>
      <c r="K297">
        <v>25</v>
      </c>
      <c r="L297" t="str">
        <f t="shared" si="16"/>
        <v>Safe</v>
      </c>
      <c r="M297" t="str">
        <f t="shared" si="17"/>
        <v>Safe</v>
      </c>
      <c r="N297" t="str">
        <f t="shared" si="18"/>
        <v>Safe</v>
      </c>
      <c r="O297" t="str">
        <f t="shared" si="19"/>
        <v>Safe</v>
      </c>
    </row>
    <row r="298" spans="1:15" x14ac:dyDescent="0.35">
      <c r="A298" t="s">
        <v>307</v>
      </c>
      <c r="B298" s="1">
        <v>44612</v>
      </c>
      <c r="C298" t="s">
        <v>314</v>
      </c>
      <c r="D298" t="s">
        <v>312</v>
      </c>
      <c r="E298">
        <v>8.4</v>
      </c>
      <c r="F298">
        <v>714</v>
      </c>
      <c r="G298">
        <v>776</v>
      </c>
      <c r="H298">
        <v>328</v>
      </c>
      <c r="I298">
        <v>44</v>
      </c>
      <c r="J298">
        <v>6.0000000000000001E-3</v>
      </c>
      <c r="K298">
        <v>19</v>
      </c>
      <c r="L298" t="str">
        <f t="shared" si="16"/>
        <v>Safe</v>
      </c>
      <c r="M298" t="str">
        <f t="shared" si="17"/>
        <v>Safe</v>
      </c>
      <c r="N298" t="str">
        <f t="shared" si="18"/>
        <v>Safe</v>
      </c>
      <c r="O298" t="str">
        <f t="shared" si="19"/>
        <v>Safe</v>
      </c>
    </row>
    <row r="299" spans="1:15" x14ac:dyDescent="0.35">
      <c r="A299" t="s">
        <v>308</v>
      </c>
      <c r="B299" s="1">
        <v>44584</v>
      </c>
      <c r="C299" t="s">
        <v>313</v>
      </c>
      <c r="D299" t="s">
        <v>312</v>
      </c>
      <c r="E299">
        <v>6.7</v>
      </c>
      <c r="F299">
        <v>516</v>
      </c>
      <c r="G299">
        <v>119</v>
      </c>
      <c r="H299">
        <v>108</v>
      </c>
      <c r="I299">
        <v>10</v>
      </c>
      <c r="J299">
        <v>1.0999999999999999E-2</v>
      </c>
      <c r="K299">
        <v>22</v>
      </c>
      <c r="L299" t="str">
        <f t="shared" si="16"/>
        <v>Safe</v>
      </c>
      <c r="M299" t="str">
        <f t="shared" si="17"/>
        <v>Safe</v>
      </c>
      <c r="N299" t="str">
        <f t="shared" si="18"/>
        <v>Unsafe</v>
      </c>
      <c r="O299" t="str">
        <f t="shared" si="19"/>
        <v>Contaminated</v>
      </c>
    </row>
    <row r="300" spans="1:15" x14ac:dyDescent="0.35">
      <c r="A300" t="s">
        <v>309</v>
      </c>
      <c r="B300" s="1">
        <v>44640</v>
      </c>
      <c r="C300" t="s">
        <v>311</v>
      </c>
      <c r="D300" t="s">
        <v>315</v>
      </c>
      <c r="E300">
        <v>7.5</v>
      </c>
      <c r="F300">
        <v>1435</v>
      </c>
      <c r="G300">
        <v>847</v>
      </c>
      <c r="H300">
        <v>341</v>
      </c>
      <c r="I300">
        <v>71</v>
      </c>
      <c r="J300">
        <v>1.4999999999999999E-2</v>
      </c>
      <c r="K300">
        <v>26</v>
      </c>
      <c r="L300" t="str">
        <f t="shared" si="16"/>
        <v>Safe</v>
      </c>
      <c r="M300" t="str">
        <f t="shared" si="17"/>
        <v>Unsafe</v>
      </c>
      <c r="N300" t="str">
        <f t="shared" si="18"/>
        <v>Unsafe</v>
      </c>
      <c r="O300" t="str">
        <f t="shared" si="19"/>
        <v>Contaminated</v>
      </c>
    </row>
    <row r="301" spans="1:15" x14ac:dyDescent="0.35">
      <c r="A301" t="s">
        <v>310</v>
      </c>
      <c r="B301" s="1">
        <v>44647</v>
      </c>
      <c r="C301" t="s">
        <v>317</v>
      </c>
      <c r="D301" t="s">
        <v>312</v>
      </c>
      <c r="E301">
        <v>6.4</v>
      </c>
      <c r="F301">
        <v>1502</v>
      </c>
      <c r="G301">
        <v>990</v>
      </c>
      <c r="H301">
        <v>252</v>
      </c>
      <c r="I301">
        <v>21</v>
      </c>
      <c r="J301">
        <v>8.9999999999999993E-3</v>
      </c>
      <c r="K301">
        <v>16</v>
      </c>
      <c r="L301" t="str">
        <f t="shared" si="16"/>
        <v>Unsafe</v>
      </c>
      <c r="M301" t="str">
        <f t="shared" si="17"/>
        <v>Safe</v>
      </c>
      <c r="N301" t="str">
        <f t="shared" si="18"/>
        <v>Safe</v>
      </c>
      <c r="O301" t="str">
        <f t="shared" si="19"/>
        <v>Contaminated</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3C437-93FB-4229-99C8-DBA6574A66BB}">
  <dimension ref="A1:P301"/>
  <sheetViews>
    <sheetView topLeftCell="A2" zoomScale="70" workbookViewId="0">
      <selection activeCell="E22" sqref="E22"/>
    </sheetView>
  </sheetViews>
  <sheetFormatPr defaultRowHeight="14.5" x14ac:dyDescent="0.35"/>
  <cols>
    <col min="1" max="1" width="11.7265625" customWidth="1"/>
    <col min="2" max="2" width="13.1796875" customWidth="1"/>
    <col min="3" max="3" width="11.36328125" bestFit="1" customWidth="1"/>
    <col min="4" max="4" width="13.7265625" customWidth="1"/>
    <col min="5" max="5" width="18.6328125" bestFit="1" customWidth="1"/>
    <col min="6" max="7" width="11.90625" customWidth="1"/>
    <col min="8" max="8" width="16.54296875" customWidth="1"/>
    <col min="9" max="9" width="14.6328125" customWidth="1"/>
    <col min="10" max="10" width="14.7265625" customWidth="1"/>
    <col min="11" max="11" width="17.36328125" customWidth="1"/>
    <col min="12" max="12" width="11.453125" customWidth="1"/>
    <col min="13" max="13" width="16.26953125" customWidth="1"/>
    <col min="14" max="14" width="13" customWidth="1"/>
    <col min="15" max="15" width="15" customWidth="1"/>
    <col min="16" max="16" width="12.26953125" customWidth="1"/>
  </cols>
  <sheetData>
    <row r="1" spans="1:16" x14ac:dyDescent="0.35">
      <c r="A1" s="2" t="s">
        <v>0</v>
      </c>
      <c r="B1" s="2" t="s">
        <v>1</v>
      </c>
      <c r="C1" s="2" t="s">
        <v>329</v>
      </c>
      <c r="D1" s="2" t="s">
        <v>2</v>
      </c>
      <c r="E1" s="2" t="s">
        <v>3</v>
      </c>
      <c r="F1" s="2" t="s">
        <v>4</v>
      </c>
      <c r="G1" s="2" t="s">
        <v>5</v>
      </c>
      <c r="H1" s="2" t="s">
        <v>6</v>
      </c>
      <c r="I1" s="2" t="s">
        <v>7</v>
      </c>
      <c r="J1" s="2" t="s">
        <v>8</v>
      </c>
      <c r="K1" s="2" t="s">
        <v>9</v>
      </c>
      <c r="L1" s="2" t="s">
        <v>10</v>
      </c>
      <c r="M1" s="2" t="s">
        <v>319</v>
      </c>
      <c r="N1" s="2" t="s">
        <v>320</v>
      </c>
      <c r="O1" s="2" t="s">
        <v>321</v>
      </c>
      <c r="P1" s="2" t="s">
        <v>322</v>
      </c>
    </row>
    <row r="2" spans="1:16" x14ac:dyDescent="0.35">
      <c r="A2" s="2" t="s">
        <v>11</v>
      </c>
      <c r="B2" s="3">
        <v>44766</v>
      </c>
      <c r="C2" s="3" t="str">
        <f>TEXT(B2,"mmm")</f>
        <v>Jul</v>
      </c>
      <c r="D2" s="2" t="s">
        <v>313</v>
      </c>
      <c r="E2" s="2" t="s">
        <v>312</v>
      </c>
      <c r="F2" s="2">
        <v>6.7</v>
      </c>
      <c r="G2" s="2">
        <v>216</v>
      </c>
      <c r="H2" s="2">
        <v>541</v>
      </c>
      <c r="I2" s="2">
        <v>292</v>
      </c>
      <c r="J2" s="2">
        <v>21</v>
      </c>
      <c r="K2" s="2">
        <v>1.4E-2</v>
      </c>
      <c r="L2" s="2">
        <v>19</v>
      </c>
      <c r="M2" s="2" t="str">
        <f>IF(OR(F2&lt;6.5,F2&gt;8.5),"Unsafe","Safe")</f>
        <v>Safe</v>
      </c>
      <c r="N2" s="2" t="str">
        <f>IF(J2&gt;50,"Unsafe","Safe")</f>
        <v>Safe</v>
      </c>
      <c r="O2" s="2" t="str">
        <f>IF(K2&gt;0.01,"Unsafe","Safe")</f>
        <v>Unsafe</v>
      </c>
      <c r="P2" s="2" t="str">
        <f>IF(OR(M2="Unsafe",N2="Unsafe",O2="Unsafe"),"Contaminated","Safe")</f>
        <v>Contaminated</v>
      </c>
    </row>
    <row r="3" spans="1:16" x14ac:dyDescent="0.35">
      <c r="A3" s="2" t="s">
        <v>12</v>
      </c>
      <c r="B3" s="3">
        <v>44775</v>
      </c>
      <c r="C3" s="3" t="str">
        <f t="shared" ref="C3:C66" si="0">TEXT(B3,"mmm")</f>
        <v>Aug</v>
      </c>
      <c r="D3" s="2" t="s">
        <v>316</v>
      </c>
      <c r="E3" s="2" t="s">
        <v>318</v>
      </c>
      <c r="F3" s="2">
        <v>8.9</v>
      </c>
      <c r="G3" s="2">
        <v>309</v>
      </c>
      <c r="H3" s="2">
        <v>928</v>
      </c>
      <c r="I3" s="2">
        <v>216</v>
      </c>
      <c r="J3" s="2">
        <v>59</v>
      </c>
      <c r="K3" s="2">
        <v>2E-3</v>
      </c>
      <c r="L3" s="2">
        <v>26</v>
      </c>
      <c r="M3" s="2" t="str">
        <f t="shared" ref="M3:M66" si="1">IF(OR(F3&lt;6.5,F3&gt;8.5),"Unsafe","Safe")</f>
        <v>Unsafe</v>
      </c>
      <c r="N3" s="2" t="str">
        <f t="shared" ref="N3:N66" si="2">IF(J3&gt;50,"Unsafe","Safe")</f>
        <v>Unsafe</v>
      </c>
      <c r="O3" s="2" t="str">
        <f t="shared" ref="O3:O66" si="3">IF(K3&gt;0.01,"Unsafe","Safe")</f>
        <v>Safe</v>
      </c>
      <c r="P3" s="2" t="str">
        <f t="shared" ref="P3:P66" si="4">IF(OR(M3="Unsafe",N3="Unsafe",O3="Unsafe"),"Contaminated","Safe")</f>
        <v>Contaminated</v>
      </c>
    </row>
    <row r="4" spans="1:16" x14ac:dyDescent="0.35">
      <c r="A4" s="2" t="s">
        <v>13</v>
      </c>
      <c r="B4" s="3">
        <v>44910</v>
      </c>
      <c r="C4" s="3" t="str">
        <f t="shared" si="0"/>
        <v>Dec</v>
      </c>
      <c r="D4" s="2" t="s">
        <v>314</v>
      </c>
      <c r="E4" s="2" t="s">
        <v>318</v>
      </c>
      <c r="F4" s="2">
        <v>6.9</v>
      </c>
      <c r="G4" s="2">
        <v>1473</v>
      </c>
      <c r="H4" s="2">
        <v>274</v>
      </c>
      <c r="I4" s="2">
        <v>270</v>
      </c>
      <c r="J4" s="2">
        <v>23</v>
      </c>
      <c r="K4" s="2">
        <v>1.7999999999999999E-2</v>
      </c>
      <c r="L4" s="2">
        <v>28</v>
      </c>
      <c r="M4" s="2" t="str">
        <f t="shared" si="1"/>
        <v>Safe</v>
      </c>
      <c r="N4" s="2" t="str">
        <f t="shared" si="2"/>
        <v>Safe</v>
      </c>
      <c r="O4" s="2" t="str">
        <f t="shared" si="3"/>
        <v>Unsafe</v>
      </c>
      <c r="P4" s="2" t="str">
        <f t="shared" si="4"/>
        <v>Contaminated</v>
      </c>
    </row>
    <row r="5" spans="1:16" x14ac:dyDescent="0.35">
      <c r="A5" s="2" t="s">
        <v>14</v>
      </c>
      <c r="B5" s="3">
        <v>44672</v>
      </c>
      <c r="C5" s="3" t="str">
        <f t="shared" si="0"/>
        <v>Apr</v>
      </c>
      <c r="D5" s="2" t="s">
        <v>311</v>
      </c>
      <c r="E5" s="2" t="s">
        <v>312</v>
      </c>
      <c r="F5" s="2">
        <v>6.8</v>
      </c>
      <c r="G5" s="2">
        <v>266</v>
      </c>
      <c r="H5" s="2">
        <v>103</v>
      </c>
      <c r="I5" s="2">
        <v>152</v>
      </c>
      <c r="J5" s="2">
        <v>45</v>
      </c>
      <c r="K5" s="2">
        <v>5.0000000000000001E-3</v>
      </c>
      <c r="L5" s="2">
        <v>23</v>
      </c>
      <c r="M5" s="2" t="str">
        <f t="shared" si="1"/>
        <v>Safe</v>
      </c>
      <c r="N5" s="2" t="str">
        <f t="shared" si="2"/>
        <v>Safe</v>
      </c>
      <c r="O5" s="2" t="str">
        <f t="shared" si="3"/>
        <v>Safe</v>
      </c>
      <c r="P5" s="2" t="str">
        <f t="shared" si="4"/>
        <v>Safe</v>
      </c>
    </row>
    <row r="6" spans="1:16" x14ac:dyDescent="0.35">
      <c r="A6" s="2" t="s">
        <v>15</v>
      </c>
      <c r="B6" s="3">
        <v>44713</v>
      </c>
      <c r="C6" s="3" t="str">
        <f t="shared" si="0"/>
        <v>Jun</v>
      </c>
      <c r="D6" s="2" t="s">
        <v>313</v>
      </c>
      <c r="E6" s="2" t="s">
        <v>315</v>
      </c>
      <c r="F6" s="2">
        <v>7.3</v>
      </c>
      <c r="G6" s="2">
        <v>1753</v>
      </c>
      <c r="H6" s="2">
        <v>917</v>
      </c>
      <c r="I6" s="2">
        <v>329</v>
      </c>
      <c r="J6" s="2">
        <v>28</v>
      </c>
      <c r="K6" s="2">
        <v>1.2999999999999999E-2</v>
      </c>
      <c r="L6" s="2">
        <v>26</v>
      </c>
      <c r="M6" s="2" t="str">
        <f t="shared" si="1"/>
        <v>Safe</v>
      </c>
      <c r="N6" s="2" t="str">
        <f t="shared" si="2"/>
        <v>Safe</v>
      </c>
      <c r="O6" s="2" t="str">
        <f t="shared" si="3"/>
        <v>Unsafe</v>
      </c>
      <c r="P6" s="2" t="str">
        <f t="shared" si="4"/>
        <v>Contaminated</v>
      </c>
    </row>
    <row r="7" spans="1:16" x14ac:dyDescent="0.35">
      <c r="A7" s="2" t="s">
        <v>16</v>
      </c>
      <c r="B7" s="3">
        <v>44589</v>
      </c>
      <c r="C7" s="3" t="str">
        <f t="shared" si="0"/>
        <v>Jan</v>
      </c>
      <c r="D7" s="2" t="s">
        <v>311</v>
      </c>
      <c r="E7" s="2" t="s">
        <v>315</v>
      </c>
      <c r="F7" s="2">
        <v>6.9</v>
      </c>
      <c r="G7" s="2">
        <v>1286</v>
      </c>
      <c r="H7" s="2">
        <v>875</v>
      </c>
      <c r="I7" s="2">
        <v>299</v>
      </c>
      <c r="J7" s="2">
        <v>7</v>
      </c>
      <c r="K7" s="2">
        <v>0</v>
      </c>
      <c r="L7" s="2">
        <v>34</v>
      </c>
      <c r="M7" s="2" t="str">
        <f t="shared" si="1"/>
        <v>Safe</v>
      </c>
      <c r="N7" s="2" t="str">
        <f t="shared" si="2"/>
        <v>Safe</v>
      </c>
      <c r="O7" s="2" t="str">
        <f t="shared" si="3"/>
        <v>Safe</v>
      </c>
      <c r="P7" s="2" t="str">
        <f t="shared" si="4"/>
        <v>Safe</v>
      </c>
    </row>
    <row r="8" spans="1:16" x14ac:dyDescent="0.35">
      <c r="A8" s="2" t="s">
        <v>17</v>
      </c>
      <c r="B8" s="3">
        <v>44653</v>
      </c>
      <c r="C8" s="3" t="str">
        <f t="shared" si="0"/>
        <v>Apr</v>
      </c>
      <c r="D8" s="2" t="s">
        <v>316</v>
      </c>
      <c r="E8" s="2" t="s">
        <v>312</v>
      </c>
      <c r="F8" s="2">
        <v>7.5</v>
      </c>
      <c r="G8" s="2">
        <v>1348</v>
      </c>
      <c r="H8" s="2">
        <v>680</v>
      </c>
      <c r="I8" s="2">
        <v>194</v>
      </c>
      <c r="J8" s="2">
        <v>46</v>
      </c>
      <c r="K8" s="2">
        <v>1.2999999999999999E-2</v>
      </c>
      <c r="L8" s="2">
        <v>13</v>
      </c>
      <c r="M8" s="2" t="str">
        <f t="shared" si="1"/>
        <v>Safe</v>
      </c>
      <c r="N8" s="2" t="str">
        <f t="shared" si="2"/>
        <v>Safe</v>
      </c>
      <c r="O8" s="2" t="str">
        <f t="shared" si="3"/>
        <v>Unsafe</v>
      </c>
      <c r="P8" s="2" t="str">
        <f t="shared" si="4"/>
        <v>Contaminated</v>
      </c>
    </row>
    <row r="9" spans="1:16" x14ac:dyDescent="0.35">
      <c r="A9" s="2" t="s">
        <v>18</v>
      </c>
      <c r="B9" s="3">
        <v>44887</v>
      </c>
      <c r="C9" s="3" t="str">
        <f t="shared" si="0"/>
        <v>Nov</v>
      </c>
      <c r="D9" s="2" t="s">
        <v>311</v>
      </c>
      <c r="E9" s="2" t="s">
        <v>315</v>
      </c>
      <c r="F9" s="2">
        <v>6.5</v>
      </c>
      <c r="G9" s="2">
        <v>456</v>
      </c>
      <c r="H9" s="2">
        <v>257</v>
      </c>
      <c r="I9" s="2">
        <v>232</v>
      </c>
      <c r="J9" s="2">
        <v>3</v>
      </c>
      <c r="K9" s="2">
        <v>8.9999999999999993E-3</v>
      </c>
      <c r="L9" s="2">
        <v>18</v>
      </c>
      <c r="M9" s="2" t="str">
        <f t="shared" si="1"/>
        <v>Safe</v>
      </c>
      <c r="N9" s="2" t="str">
        <f t="shared" si="2"/>
        <v>Safe</v>
      </c>
      <c r="O9" s="2" t="str">
        <f t="shared" si="3"/>
        <v>Safe</v>
      </c>
      <c r="P9" s="2" t="str">
        <f t="shared" si="4"/>
        <v>Safe</v>
      </c>
    </row>
    <row r="10" spans="1:16" x14ac:dyDescent="0.35">
      <c r="A10" s="2" t="s">
        <v>19</v>
      </c>
      <c r="B10" s="3">
        <v>44625</v>
      </c>
      <c r="C10" s="3" t="str">
        <f t="shared" si="0"/>
        <v>Mar</v>
      </c>
      <c r="D10" s="2" t="s">
        <v>314</v>
      </c>
      <c r="E10" s="2" t="s">
        <v>318</v>
      </c>
      <c r="F10" s="2">
        <v>9</v>
      </c>
      <c r="G10" s="2">
        <v>1305</v>
      </c>
      <c r="H10" s="2">
        <v>683</v>
      </c>
      <c r="I10" s="2">
        <v>233</v>
      </c>
      <c r="J10" s="2">
        <v>62</v>
      </c>
      <c r="K10" s="2">
        <v>1.9E-2</v>
      </c>
      <c r="L10" s="2">
        <v>28</v>
      </c>
      <c r="M10" s="2" t="str">
        <f t="shared" si="1"/>
        <v>Unsafe</v>
      </c>
      <c r="N10" s="2" t="str">
        <f t="shared" si="2"/>
        <v>Unsafe</v>
      </c>
      <c r="O10" s="2" t="str">
        <f t="shared" si="3"/>
        <v>Unsafe</v>
      </c>
      <c r="P10" s="2" t="str">
        <f t="shared" si="4"/>
        <v>Contaminated</v>
      </c>
    </row>
    <row r="11" spans="1:16" x14ac:dyDescent="0.35">
      <c r="A11" s="2" t="s">
        <v>20</v>
      </c>
      <c r="B11" s="3">
        <v>44782</v>
      </c>
      <c r="C11" s="3" t="str">
        <f t="shared" si="0"/>
        <v>Aug</v>
      </c>
      <c r="D11" s="2" t="s">
        <v>317</v>
      </c>
      <c r="E11" s="2" t="s">
        <v>315</v>
      </c>
      <c r="F11" s="2">
        <v>7.8</v>
      </c>
      <c r="G11" s="2">
        <v>1082</v>
      </c>
      <c r="H11" s="2">
        <v>723</v>
      </c>
      <c r="I11" s="2">
        <v>120</v>
      </c>
      <c r="J11" s="2">
        <v>31</v>
      </c>
      <c r="K11" s="2">
        <v>1.6E-2</v>
      </c>
      <c r="L11" s="2">
        <v>15</v>
      </c>
      <c r="M11" s="2" t="str">
        <f t="shared" si="1"/>
        <v>Safe</v>
      </c>
      <c r="N11" s="2" t="str">
        <f t="shared" si="2"/>
        <v>Safe</v>
      </c>
      <c r="O11" s="2" t="str">
        <f t="shared" si="3"/>
        <v>Unsafe</v>
      </c>
      <c r="P11" s="2" t="str">
        <f t="shared" si="4"/>
        <v>Contaminated</v>
      </c>
    </row>
    <row r="12" spans="1:16" x14ac:dyDescent="0.35">
      <c r="A12" s="2" t="s">
        <v>21</v>
      </c>
      <c r="B12" s="3">
        <v>44869</v>
      </c>
      <c r="C12" s="3" t="str">
        <f t="shared" si="0"/>
        <v>Nov</v>
      </c>
      <c r="D12" s="2" t="s">
        <v>317</v>
      </c>
      <c r="E12" s="2" t="s">
        <v>312</v>
      </c>
      <c r="F12" s="2">
        <v>8.4</v>
      </c>
      <c r="G12" s="2">
        <v>786</v>
      </c>
      <c r="H12" s="2">
        <v>1022</v>
      </c>
      <c r="I12" s="2">
        <v>255</v>
      </c>
      <c r="J12" s="2">
        <v>34</v>
      </c>
      <c r="K12" s="2">
        <v>5.0000000000000001E-3</v>
      </c>
      <c r="L12" s="2">
        <v>33</v>
      </c>
      <c r="M12" s="2" t="str">
        <f t="shared" si="1"/>
        <v>Safe</v>
      </c>
      <c r="N12" s="2" t="str">
        <f t="shared" si="2"/>
        <v>Safe</v>
      </c>
      <c r="O12" s="2" t="str">
        <f t="shared" si="3"/>
        <v>Safe</v>
      </c>
      <c r="P12" s="2" t="str">
        <f t="shared" si="4"/>
        <v>Safe</v>
      </c>
    </row>
    <row r="13" spans="1:16" x14ac:dyDescent="0.35">
      <c r="A13" s="2" t="s">
        <v>22</v>
      </c>
      <c r="B13" s="3">
        <v>44618</v>
      </c>
      <c r="C13" s="3" t="str">
        <f t="shared" si="0"/>
        <v>Feb</v>
      </c>
      <c r="D13" s="2" t="s">
        <v>313</v>
      </c>
      <c r="E13" s="2" t="s">
        <v>315</v>
      </c>
      <c r="F13" s="2">
        <v>6.9</v>
      </c>
      <c r="G13" s="2">
        <v>695</v>
      </c>
      <c r="H13" s="2">
        <v>905</v>
      </c>
      <c r="I13" s="2">
        <v>60</v>
      </c>
      <c r="J13" s="2">
        <v>25</v>
      </c>
      <c r="K13" s="2">
        <v>1.2999999999999999E-2</v>
      </c>
      <c r="L13" s="2">
        <v>12</v>
      </c>
      <c r="M13" s="2" t="str">
        <f t="shared" si="1"/>
        <v>Safe</v>
      </c>
      <c r="N13" s="2" t="str">
        <f t="shared" si="2"/>
        <v>Safe</v>
      </c>
      <c r="O13" s="2" t="str">
        <f t="shared" si="3"/>
        <v>Unsafe</v>
      </c>
      <c r="P13" s="2" t="str">
        <f t="shared" si="4"/>
        <v>Contaminated</v>
      </c>
    </row>
    <row r="14" spans="1:16" x14ac:dyDescent="0.35">
      <c r="A14" s="2" t="s">
        <v>23</v>
      </c>
      <c r="B14" s="3">
        <v>44686</v>
      </c>
      <c r="C14" s="3" t="str">
        <f t="shared" si="0"/>
        <v>May</v>
      </c>
      <c r="D14" s="2" t="s">
        <v>313</v>
      </c>
      <c r="E14" s="2" t="s">
        <v>315</v>
      </c>
      <c r="F14" s="2">
        <v>7.2</v>
      </c>
      <c r="G14" s="2">
        <v>216</v>
      </c>
      <c r="H14" s="2">
        <v>516</v>
      </c>
      <c r="I14" s="2">
        <v>72</v>
      </c>
      <c r="J14" s="2">
        <v>25</v>
      </c>
      <c r="K14" s="2">
        <v>1.2E-2</v>
      </c>
      <c r="L14" s="2">
        <v>35</v>
      </c>
      <c r="M14" s="2" t="str">
        <f t="shared" si="1"/>
        <v>Safe</v>
      </c>
      <c r="N14" s="2" t="str">
        <f t="shared" si="2"/>
        <v>Safe</v>
      </c>
      <c r="O14" s="2" t="str">
        <f t="shared" si="3"/>
        <v>Unsafe</v>
      </c>
      <c r="P14" s="2" t="str">
        <f t="shared" si="4"/>
        <v>Contaminated</v>
      </c>
    </row>
    <row r="15" spans="1:16" x14ac:dyDescent="0.35">
      <c r="A15" s="2" t="s">
        <v>24</v>
      </c>
      <c r="B15" s="3">
        <v>44693</v>
      </c>
      <c r="C15" s="3" t="str">
        <f t="shared" si="0"/>
        <v>May</v>
      </c>
      <c r="D15" s="2" t="s">
        <v>311</v>
      </c>
      <c r="E15" s="2" t="s">
        <v>315</v>
      </c>
      <c r="F15" s="2">
        <v>6.9</v>
      </c>
      <c r="G15" s="2">
        <v>1657</v>
      </c>
      <c r="H15" s="2">
        <v>536</v>
      </c>
      <c r="I15" s="2">
        <v>159</v>
      </c>
      <c r="J15" s="2">
        <v>68</v>
      </c>
      <c r="K15" s="2">
        <v>4.0000000000000001E-3</v>
      </c>
      <c r="L15" s="2">
        <v>30</v>
      </c>
      <c r="M15" s="2" t="str">
        <f t="shared" si="1"/>
        <v>Safe</v>
      </c>
      <c r="N15" s="2" t="str">
        <f t="shared" si="2"/>
        <v>Unsafe</v>
      </c>
      <c r="O15" s="2" t="str">
        <f t="shared" si="3"/>
        <v>Safe</v>
      </c>
      <c r="P15" s="2" t="str">
        <f t="shared" si="4"/>
        <v>Contaminated</v>
      </c>
    </row>
    <row r="16" spans="1:16" x14ac:dyDescent="0.35">
      <c r="A16" s="2" t="s">
        <v>25</v>
      </c>
      <c r="B16" s="3">
        <v>44911</v>
      </c>
      <c r="C16" s="3" t="str">
        <f t="shared" si="0"/>
        <v>Dec</v>
      </c>
      <c r="D16" s="2" t="s">
        <v>313</v>
      </c>
      <c r="E16" s="2" t="s">
        <v>315</v>
      </c>
      <c r="F16" s="2">
        <v>6.8</v>
      </c>
      <c r="G16" s="2">
        <v>325</v>
      </c>
      <c r="H16" s="2">
        <v>441</v>
      </c>
      <c r="I16" s="2">
        <v>344</v>
      </c>
      <c r="J16" s="2">
        <v>47</v>
      </c>
      <c r="K16" s="2">
        <v>1.7999999999999999E-2</v>
      </c>
      <c r="L16" s="2">
        <v>21</v>
      </c>
      <c r="M16" s="2" t="str">
        <f t="shared" si="1"/>
        <v>Safe</v>
      </c>
      <c r="N16" s="2" t="str">
        <f t="shared" si="2"/>
        <v>Safe</v>
      </c>
      <c r="O16" s="2" t="str">
        <f t="shared" si="3"/>
        <v>Unsafe</v>
      </c>
      <c r="P16" s="2" t="str">
        <f t="shared" si="4"/>
        <v>Contaminated</v>
      </c>
    </row>
    <row r="17" spans="1:16" x14ac:dyDescent="0.35">
      <c r="A17" s="2" t="s">
        <v>26</v>
      </c>
      <c r="B17" s="3">
        <v>44691</v>
      </c>
      <c r="C17" s="3" t="str">
        <f t="shared" si="0"/>
        <v>May</v>
      </c>
      <c r="D17" s="2" t="s">
        <v>313</v>
      </c>
      <c r="E17" s="2" t="s">
        <v>312</v>
      </c>
      <c r="F17" s="2">
        <v>6.8</v>
      </c>
      <c r="G17" s="2">
        <v>1427</v>
      </c>
      <c r="H17" s="2">
        <v>1027</v>
      </c>
      <c r="I17" s="2">
        <v>355</v>
      </c>
      <c r="J17" s="2">
        <v>25</v>
      </c>
      <c r="K17" s="2">
        <v>3.0000000000000001E-3</v>
      </c>
      <c r="L17" s="2">
        <v>24</v>
      </c>
      <c r="M17" s="2" t="str">
        <f t="shared" si="1"/>
        <v>Safe</v>
      </c>
      <c r="N17" s="2" t="str">
        <f t="shared" si="2"/>
        <v>Safe</v>
      </c>
      <c r="O17" s="2" t="str">
        <f t="shared" si="3"/>
        <v>Safe</v>
      </c>
      <c r="P17" s="2" t="str">
        <f t="shared" si="4"/>
        <v>Safe</v>
      </c>
    </row>
    <row r="18" spans="1:16" x14ac:dyDescent="0.35">
      <c r="A18" s="2" t="s">
        <v>27</v>
      </c>
      <c r="B18" s="3">
        <v>44636</v>
      </c>
      <c r="C18" s="3" t="str">
        <f t="shared" si="0"/>
        <v>Mar</v>
      </c>
      <c r="D18" s="2" t="s">
        <v>314</v>
      </c>
      <c r="E18" s="2" t="s">
        <v>312</v>
      </c>
      <c r="F18" s="2">
        <v>6.4</v>
      </c>
      <c r="G18" s="2">
        <v>1698</v>
      </c>
      <c r="H18" s="2">
        <v>144</v>
      </c>
      <c r="I18" s="2">
        <v>109</v>
      </c>
      <c r="J18" s="2">
        <v>51</v>
      </c>
      <c r="K18" s="2">
        <v>1.2E-2</v>
      </c>
      <c r="L18" s="2">
        <v>31</v>
      </c>
      <c r="M18" s="2" t="str">
        <f t="shared" si="1"/>
        <v>Unsafe</v>
      </c>
      <c r="N18" s="2" t="str">
        <f t="shared" si="2"/>
        <v>Unsafe</v>
      </c>
      <c r="O18" s="2" t="str">
        <f t="shared" si="3"/>
        <v>Unsafe</v>
      </c>
      <c r="P18" s="2" t="str">
        <f t="shared" si="4"/>
        <v>Contaminated</v>
      </c>
    </row>
    <row r="19" spans="1:16" x14ac:dyDescent="0.35">
      <c r="A19" s="2" t="s">
        <v>28</v>
      </c>
      <c r="B19" s="3">
        <v>44676</v>
      </c>
      <c r="C19" s="3" t="str">
        <f t="shared" si="0"/>
        <v>Apr</v>
      </c>
      <c r="D19" s="2" t="s">
        <v>311</v>
      </c>
      <c r="E19" s="2" t="s">
        <v>318</v>
      </c>
      <c r="F19" s="2">
        <v>7.5</v>
      </c>
      <c r="G19" s="2">
        <v>1794</v>
      </c>
      <c r="H19" s="2">
        <v>648</v>
      </c>
      <c r="I19" s="2">
        <v>306</v>
      </c>
      <c r="J19" s="2">
        <v>4</v>
      </c>
      <c r="K19" s="2">
        <v>0</v>
      </c>
      <c r="L19" s="2">
        <v>33</v>
      </c>
      <c r="M19" s="2" t="str">
        <f t="shared" si="1"/>
        <v>Safe</v>
      </c>
      <c r="N19" s="2" t="str">
        <f t="shared" si="2"/>
        <v>Safe</v>
      </c>
      <c r="O19" s="2" t="str">
        <f t="shared" si="3"/>
        <v>Safe</v>
      </c>
      <c r="P19" s="2" t="str">
        <f t="shared" si="4"/>
        <v>Safe</v>
      </c>
    </row>
    <row r="20" spans="1:16" x14ac:dyDescent="0.35">
      <c r="A20" s="2" t="s">
        <v>29</v>
      </c>
      <c r="B20" s="3">
        <v>44685</v>
      </c>
      <c r="C20" s="3" t="str">
        <f t="shared" si="0"/>
        <v>May</v>
      </c>
      <c r="D20" s="2" t="s">
        <v>311</v>
      </c>
      <c r="E20" s="2" t="s">
        <v>318</v>
      </c>
      <c r="F20" s="2">
        <v>8.1</v>
      </c>
      <c r="G20" s="2">
        <v>208</v>
      </c>
      <c r="H20" s="2">
        <v>351</v>
      </c>
      <c r="I20" s="2">
        <v>239</v>
      </c>
      <c r="J20" s="2">
        <v>60</v>
      </c>
      <c r="K20" s="2">
        <v>3.0000000000000001E-3</v>
      </c>
      <c r="L20" s="2">
        <v>19</v>
      </c>
      <c r="M20" s="2" t="str">
        <f t="shared" si="1"/>
        <v>Safe</v>
      </c>
      <c r="N20" s="2" t="str">
        <f t="shared" si="2"/>
        <v>Unsafe</v>
      </c>
      <c r="O20" s="2" t="str">
        <f t="shared" si="3"/>
        <v>Safe</v>
      </c>
      <c r="P20" s="2" t="str">
        <f t="shared" si="4"/>
        <v>Contaminated</v>
      </c>
    </row>
    <row r="21" spans="1:16" x14ac:dyDescent="0.35">
      <c r="A21" s="2" t="s">
        <v>30</v>
      </c>
      <c r="B21" s="3">
        <v>44851</v>
      </c>
      <c r="C21" s="3" t="str">
        <f t="shared" si="0"/>
        <v>Oct</v>
      </c>
      <c r="D21" s="2" t="s">
        <v>313</v>
      </c>
      <c r="E21" s="2" t="s">
        <v>312</v>
      </c>
      <c r="F21" s="2">
        <v>7.4</v>
      </c>
      <c r="G21" s="2">
        <v>1000</v>
      </c>
      <c r="H21" s="2">
        <v>1188</v>
      </c>
      <c r="I21" s="2">
        <v>90</v>
      </c>
      <c r="J21" s="2">
        <v>49</v>
      </c>
      <c r="K21" s="2">
        <v>1.6E-2</v>
      </c>
      <c r="L21" s="2">
        <v>24</v>
      </c>
      <c r="M21" s="2" t="str">
        <f t="shared" si="1"/>
        <v>Safe</v>
      </c>
      <c r="N21" s="2" t="str">
        <f t="shared" si="2"/>
        <v>Safe</v>
      </c>
      <c r="O21" s="2" t="str">
        <f t="shared" si="3"/>
        <v>Unsafe</v>
      </c>
      <c r="P21" s="2" t="str">
        <f t="shared" si="4"/>
        <v>Contaminated</v>
      </c>
    </row>
    <row r="22" spans="1:16" x14ac:dyDescent="0.35">
      <c r="A22" s="2" t="s">
        <v>31</v>
      </c>
      <c r="B22" s="3">
        <v>44756</v>
      </c>
      <c r="C22" s="3" t="str">
        <f t="shared" si="0"/>
        <v>Jul</v>
      </c>
      <c r="D22" s="2" t="s">
        <v>316</v>
      </c>
      <c r="E22" s="2" t="s">
        <v>315</v>
      </c>
      <c r="F22" s="2">
        <v>6.4</v>
      </c>
      <c r="G22" s="2">
        <v>452</v>
      </c>
      <c r="H22" s="2">
        <v>459</v>
      </c>
      <c r="I22" s="2">
        <v>183</v>
      </c>
      <c r="J22" s="2">
        <v>20</v>
      </c>
      <c r="K22" s="2">
        <v>0</v>
      </c>
      <c r="L22" s="2">
        <v>28</v>
      </c>
      <c r="M22" s="2" t="str">
        <f t="shared" si="1"/>
        <v>Unsafe</v>
      </c>
      <c r="N22" s="2" t="str">
        <f t="shared" si="2"/>
        <v>Safe</v>
      </c>
      <c r="O22" s="2" t="str">
        <f t="shared" si="3"/>
        <v>Safe</v>
      </c>
      <c r="P22" s="2" t="str">
        <f t="shared" si="4"/>
        <v>Contaminated</v>
      </c>
    </row>
    <row r="23" spans="1:16" x14ac:dyDescent="0.35">
      <c r="A23" s="2" t="s">
        <v>32</v>
      </c>
      <c r="B23" s="3">
        <v>44762</v>
      </c>
      <c r="C23" s="3" t="str">
        <f t="shared" si="0"/>
        <v>Jul</v>
      </c>
      <c r="D23" s="2" t="s">
        <v>311</v>
      </c>
      <c r="E23" s="2" t="s">
        <v>318</v>
      </c>
      <c r="F23" s="2">
        <v>6.6</v>
      </c>
      <c r="G23" s="2">
        <v>239</v>
      </c>
      <c r="H23" s="2">
        <v>270</v>
      </c>
      <c r="I23" s="2">
        <v>334</v>
      </c>
      <c r="J23" s="2">
        <v>56</v>
      </c>
      <c r="K23" s="2">
        <v>1.7000000000000001E-2</v>
      </c>
      <c r="L23" s="2">
        <v>14</v>
      </c>
      <c r="M23" s="2" t="str">
        <f t="shared" si="1"/>
        <v>Safe</v>
      </c>
      <c r="N23" s="2" t="str">
        <f t="shared" si="2"/>
        <v>Unsafe</v>
      </c>
      <c r="O23" s="2" t="str">
        <f t="shared" si="3"/>
        <v>Unsafe</v>
      </c>
      <c r="P23" s="2" t="str">
        <f t="shared" si="4"/>
        <v>Contaminated</v>
      </c>
    </row>
    <row r="24" spans="1:16" x14ac:dyDescent="0.35">
      <c r="A24" s="2" t="s">
        <v>33</v>
      </c>
      <c r="B24" s="3">
        <v>44709</v>
      </c>
      <c r="C24" s="3" t="str">
        <f t="shared" si="0"/>
        <v>May</v>
      </c>
      <c r="D24" s="2" t="s">
        <v>313</v>
      </c>
      <c r="E24" s="2" t="s">
        <v>312</v>
      </c>
      <c r="F24" s="2">
        <v>7.4</v>
      </c>
      <c r="G24" s="2">
        <v>1470</v>
      </c>
      <c r="H24" s="2">
        <v>1080</v>
      </c>
      <c r="I24" s="2">
        <v>337</v>
      </c>
      <c r="J24" s="2">
        <v>50</v>
      </c>
      <c r="K24" s="2">
        <v>8.0000000000000002E-3</v>
      </c>
      <c r="L24" s="2">
        <v>33</v>
      </c>
      <c r="M24" s="2" t="str">
        <f t="shared" si="1"/>
        <v>Safe</v>
      </c>
      <c r="N24" s="2" t="str">
        <f t="shared" si="2"/>
        <v>Safe</v>
      </c>
      <c r="O24" s="2" t="str">
        <f t="shared" si="3"/>
        <v>Safe</v>
      </c>
      <c r="P24" s="2" t="str">
        <f t="shared" si="4"/>
        <v>Safe</v>
      </c>
    </row>
    <row r="25" spans="1:16" x14ac:dyDescent="0.35">
      <c r="A25" s="2" t="s">
        <v>34</v>
      </c>
      <c r="B25" s="3">
        <v>44857</v>
      </c>
      <c r="C25" s="3" t="str">
        <f t="shared" si="0"/>
        <v>Oct</v>
      </c>
      <c r="D25" s="2" t="s">
        <v>313</v>
      </c>
      <c r="E25" s="2" t="s">
        <v>318</v>
      </c>
      <c r="F25" s="2">
        <v>9</v>
      </c>
      <c r="G25" s="2">
        <v>1003</v>
      </c>
      <c r="H25" s="2">
        <v>210</v>
      </c>
      <c r="I25" s="2">
        <v>332</v>
      </c>
      <c r="J25" s="2">
        <v>54</v>
      </c>
      <c r="K25" s="2">
        <v>7.0000000000000001E-3</v>
      </c>
      <c r="L25" s="2">
        <v>20</v>
      </c>
      <c r="M25" s="2" t="str">
        <f t="shared" si="1"/>
        <v>Unsafe</v>
      </c>
      <c r="N25" s="2" t="str">
        <f t="shared" si="2"/>
        <v>Unsafe</v>
      </c>
      <c r="O25" s="2" t="str">
        <f t="shared" si="3"/>
        <v>Safe</v>
      </c>
      <c r="P25" s="2" t="str">
        <f t="shared" si="4"/>
        <v>Contaminated</v>
      </c>
    </row>
    <row r="26" spans="1:16" x14ac:dyDescent="0.35">
      <c r="A26" s="2" t="s">
        <v>35</v>
      </c>
      <c r="B26" s="3">
        <v>44788</v>
      </c>
      <c r="C26" s="3" t="str">
        <f t="shared" si="0"/>
        <v>Aug</v>
      </c>
      <c r="D26" s="2" t="s">
        <v>313</v>
      </c>
      <c r="E26" s="2" t="s">
        <v>315</v>
      </c>
      <c r="F26" s="2">
        <v>7.4</v>
      </c>
      <c r="G26" s="2">
        <v>287</v>
      </c>
      <c r="H26" s="2">
        <v>745</v>
      </c>
      <c r="I26" s="2">
        <v>368</v>
      </c>
      <c r="J26" s="2">
        <v>50</v>
      </c>
      <c r="K26" s="2">
        <v>2E-3</v>
      </c>
      <c r="L26" s="2">
        <v>18</v>
      </c>
      <c r="M26" s="2" t="str">
        <f t="shared" si="1"/>
        <v>Safe</v>
      </c>
      <c r="N26" s="2" t="str">
        <f t="shared" si="2"/>
        <v>Safe</v>
      </c>
      <c r="O26" s="2" t="str">
        <f t="shared" si="3"/>
        <v>Safe</v>
      </c>
      <c r="P26" s="2" t="str">
        <f t="shared" si="4"/>
        <v>Safe</v>
      </c>
    </row>
    <row r="27" spans="1:16" x14ac:dyDescent="0.35">
      <c r="A27" s="2" t="s">
        <v>36</v>
      </c>
      <c r="B27" s="3">
        <v>44613</v>
      </c>
      <c r="C27" s="3" t="str">
        <f t="shared" si="0"/>
        <v>Feb</v>
      </c>
      <c r="D27" s="2" t="s">
        <v>311</v>
      </c>
      <c r="E27" s="2" t="s">
        <v>315</v>
      </c>
      <c r="F27" s="2">
        <v>7.5</v>
      </c>
      <c r="G27" s="2">
        <v>1741</v>
      </c>
      <c r="H27" s="2">
        <v>639</v>
      </c>
      <c r="I27" s="2">
        <v>370</v>
      </c>
      <c r="J27" s="2">
        <v>2</v>
      </c>
      <c r="K27" s="2">
        <v>1.2E-2</v>
      </c>
      <c r="L27" s="2">
        <v>29</v>
      </c>
      <c r="M27" s="2" t="str">
        <f t="shared" si="1"/>
        <v>Safe</v>
      </c>
      <c r="N27" s="2" t="str">
        <f t="shared" si="2"/>
        <v>Safe</v>
      </c>
      <c r="O27" s="2" t="str">
        <f t="shared" si="3"/>
        <v>Unsafe</v>
      </c>
      <c r="P27" s="2" t="str">
        <f t="shared" si="4"/>
        <v>Contaminated</v>
      </c>
    </row>
    <row r="28" spans="1:16" x14ac:dyDescent="0.35">
      <c r="A28" s="2" t="s">
        <v>37</v>
      </c>
      <c r="B28" s="3">
        <v>44602</v>
      </c>
      <c r="C28" s="3" t="str">
        <f t="shared" si="0"/>
        <v>Feb</v>
      </c>
      <c r="D28" s="2" t="s">
        <v>314</v>
      </c>
      <c r="E28" s="2" t="s">
        <v>312</v>
      </c>
      <c r="F28" s="2">
        <v>6.2</v>
      </c>
      <c r="G28" s="2">
        <v>280</v>
      </c>
      <c r="H28" s="2">
        <v>907</v>
      </c>
      <c r="I28" s="2">
        <v>252</v>
      </c>
      <c r="J28" s="2">
        <v>22</v>
      </c>
      <c r="K28" s="2">
        <v>1.9E-2</v>
      </c>
      <c r="L28" s="2">
        <v>18</v>
      </c>
      <c r="M28" s="2" t="str">
        <f t="shared" si="1"/>
        <v>Unsafe</v>
      </c>
      <c r="N28" s="2" t="str">
        <f t="shared" si="2"/>
        <v>Safe</v>
      </c>
      <c r="O28" s="2" t="str">
        <f t="shared" si="3"/>
        <v>Unsafe</v>
      </c>
      <c r="P28" s="2" t="str">
        <f t="shared" si="4"/>
        <v>Contaminated</v>
      </c>
    </row>
    <row r="29" spans="1:16" x14ac:dyDescent="0.35">
      <c r="A29" s="2" t="s">
        <v>38</v>
      </c>
      <c r="B29" s="3">
        <v>44732</v>
      </c>
      <c r="C29" s="3" t="str">
        <f t="shared" si="0"/>
        <v>Jun</v>
      </c>
      <c r="D29" s="2" t="s">
        <v>314</v>
      </c>
      <c r="E29" s="2" t="s">
        <v>318</v>
      </c>
      <c r="F29" s="2">
        <v>6.9</v>
      </c>
      <c r="G29" s="2">
        <v>1460</v>
      </c>
      <c r="H29" s="2">
        <v>161</v>
      </c>
      <c r="I29" s="2">
        <v>299</v>
      </c>
      <c r="J29" s="2">
        <v>57</v>
      </c>
      <c r="K29" s="2">
        <v>1E-3</v>
      </c>
      <c r="L29" s="2">
        <v>23</v>
      </c>
      <c r="M29" s="2" t="str">
        <f t="shared" si="1"/>
        <v>Safe</v>
      </c>
      <c r="N29" s="2" t="str">
        <f t="shared" si="2"/>
        <v>Unsafe</v>
      </c>
      <c r="O29" s="2" t="str">
        <f t="shared" si="3"/>
        <v>Safe</v>
      </c>
      <c r="P29" s="2" t="str">
        <f t="shared" si="4"/>
        <v>Contaminated</v>
      </c>
    </row>
    <row r="30" spans="1:16" x14ac:dyDescent="0.35">
      <c r="A30" s="2" t="s">
        <v>39</v>
      </c>
      <c r="B30" s="3">
        <v>44801</v>
      </c>
      <c r="C30" s="3" t="str">
        <f t="shared" si="0"/>
        <v>Aug</v>
      </c>
      <c r="D30" s="2" t="s">
        <v>316</v>
      </c>
      <c r="E30" s="2" t="s">
        <v>318</v>
      </c>
      <c r="F30" s="2">
        <v>6.6</v>
      </c>
      <c r="G30" s="2">
        <v>944</v>
      </c>
      <c r="H30" s="2">
        <v>943</v>
      </c>
      <c r="I30" s="2">
        <v>216</v>
      </c>
      <c r="J30" s="2">
        <v>5</v>
      </c>
      <c r="K30" s="2">
        <v>8.9999999999999993E-3</v>
      </c>
      <c r="L30" s="2">
        <v>32</v>
      </c>
      <c r="M30" s="2" t="str">
        <f t="shared" si="1"/>
        <v>Safe</v>
      </c>
      <c r="N30" s="2" t="str">
        <f t="shared" si="2"/>
        <v>Safe</v>
      </c>
      <c r="O30" s="2" t="str">
        <f t="shared" si="3"/>
        <v>Safe</v>
      </c>
      <c r="P30" s="2" t="str">
        <f t="shared" si="4"/>
        <v>Safe</v>
      </c>
    </row>
    <row r="31" spans="1:16" x14ac:dyDescent="0.35">
      <c r="A31" s="2" t="s">
        <v>40</v>
      </c>
      <c r="B31" s="3">
        <v>44760</v>
      </c>
      <c r="C31" s="3" t="str">
        <f t="shared" si="0"/>
        <v>Jul</v>
      </c>
      <c r="D31" s="2" t="s">
        <v>317</v>
      </c>
      <c r="E31" s="2" t="s">
        <v>318</v>
      </c>
      <c r="F31" s="2">
        <v>8.5</v>
      </c>
      <c r="G31" s="2">
        <v>639</v>
      </c>
      <c r="H31" s="2">
        <v>760</v>
      </c>
      <c r="I31" s="2">
        <v>169</v>
      </c>
      <c r="J31" s="2">
        <v>25</v>
      </c>
      <c r="K31" s="2">
        <v>1.0999999999999999E-2</v>
      </c>
      <c r="L31" s="2">
        <v>25</v>
      </c>
      <c r="M31" s="2" t="str">
        <f t="shared" si="1"/>
        <v>Safe</v>
      </c>
      <c r="N31" s="2" t="str">
        <f t="shared" si="2"/>
        <v>Safe</v>
      </c>
      <c r="O31" s="2" t="str">
        <f t="shared" si="3"/>
        <v>Unsafe</v>
      </c>
      <c r="P31" s="2" t="str">
        <f t="shared" si="4"/>
        <v>Contaminated</v>
      </c>
    </row>
    <row r="32" spans="1:16" x14ac:dyDescent="0.35">
      <c r="A32" s="2" t="s">
        <v>41</v>
      </c>
      <c r="B32" s="3">
        <v>44601</v>
      </c>
      <c r="C32" s="3" t="str">
        <f t="shared" si="0"/>
        <v>Feb</v>
      </c>
      <c r="D32" s="2" t="s">
        <v>314</v>
      </c>
      <c r="E32" s="2" t="s">
        <v>318</v>
      </c>
      <c r="F32" s="2">
        <v>7.5</v>
      </c>
      <c r="G32" s="2">
        <v>1692</v>
      </c>
      <c r="H32" s="2">
        <v>683</v>
      </c>
      <c r="I32" s="2">
        <v>382</v>
      </c>
      <c r="J32" s="2">
        <v>33</v>
      </c>
      <c r="K32" s="2">
        <v>1E-3</v>
      </c>
      <c r="L32" s="2">
        <v>11</v>
      </c>
      <c r="M32" s="2" t="str">
        <f t="shared" si="1"/>
        <v>Safe</v>
      </c>
      <c r="N32" s="2" t="str">
        <f t="shared" si="2"/>
        <v>Safe</v>
      </c>
      <c r="O32" s="2" t="str">
        <f t="shared" si="3"/>
        <v>Safe</v>
      </c>
      <c r="P32" s="2" t="str">
        <f t="shared" si="4"/>
        <v>Safe</v>
      </c>
    </row>
    <row r="33" spans="1:16" x14ac:dyDescent="0.35">
      <c r="A33" s="2" t="s">
        <v>42</v>
      </c>
      <c r="B33" s="3">
        <v>44695</v>
      </c>
      <c r="C33" s="3" t="str">
        <f t="shared" si="0"/>
        <v>May</v>
      </c>
      <c r="D33" s="2" t="s">
        <v>316</v>
      </c>
      <c r="E33" s="2" t="s">
        <v>315</v>
      </c>
      <c r="F33" s="2">
        <v>6.4</v>
      </c>
      <c r="G33" s="2">
        <v>1289</v>
      </c>
      <c r="H33" s="2">
        <v>544</v>
      </c>
      <c r="I33" s="2">
        <v>232</v>
      </c>
      <c r="J33" s="2">
        <v>50</v>
      </c>
      <c r="K33" s="2">
        <v>1.7999999999999999E-2</v>
      </c>
      <c r="L33" s="2">
        <v>33</v>
      </c>
      <c r="M33" s="2" t="str">
        <f t="shared" si="1"/>
        <v>Unsafe</v>
      </c>
      <c r="N33" s="2" t="str">
        <f t="shared" si="2"/>
        <v>Safe</v>
      </c>
      <c r="O33" s="2" t="str">
        <f t="shared" si="3"/>
        <v>Unsafe</v>
      </c>
      <c r="P33" s="2" t="str">
        <f t="shared" si="4"/>
        <v>Contaminated</v>
      </c>
    </row>
    <row r="34" spans="1:16" x14ac:dyDescent="0.35">
      <c r="A34" s="2" t="s">
        <v>43</v>
      </c>
      <c r="B34" s="3">
        <v>44719</v>
      </c>
      <c r="C34" s="3" t="str">
        <f t="shared" si="0"/>
        <v>Jun</v>
      </c>
      <c r="D34" s="2" t="s">
        <v>313</v>
      </c>
      <c r="E34" s="2" t="s">
        <v>315</v>
      </c>
      <c r="F34" s="2">
        <v>8.3000000000000007</v>
      </c>
      <c r="G34" s="2">
        <v>883</v>
      </c>
      <c r="H34" s="2">
        <v>350</v>
      </c>
      <c r="I34" s="2">
        <v>125</v>
      </c>
      <c r="J34" s="2">
        <v>25</v>
      </c>
      <c r="K34" s="2">
        <v>1.2E-2</v>
      </c>
      <c r="L34" s="2">
        <v>14</v>
      </c>
      <c r="M34" s="2" t="str">
        <f t="shared" si="1"/>
        <v>Safe</v>
      </c>
      <c r="N34" s="2" t="str">
        <f t="shared" si="2"/>
        <v>Safe</v>
      </c>
      <c r="O34" s="2" t="str">
        <f t="shared" si="3"/>
        <v>Unsafe</v>
      </c>
      <c r="P34" s="2" t="str">
        <f t="shared" si="4"/>
        <v>Contaminated</v>
      </c>
    </row>
    <row r="35" spans="1:16" x14ac:dyDescent="0.35">
      <c r="A35" s="2" t="s">
        <v>44</v>
      </c>
      <c r="B35" s="3">
        <v>44691</v>
      </c>
      <c r="C35" s="3" t="str">
        <f t="shared" si="0"/>
        <v>May</v>
      </c>
      <c r="D35" s="2" t="s">
        <v>314</v>
      </c>
      <c r="E35" s="2" t="s">
        <v>318</v>
      </c>
      <c r="F35" s="2">
        <v>8.3000000000000007</v>
      </c>
      <c r="G35" s="2">
        <v>1153</v>
      </c>
      <c r="H35" s="2">
        <v>1006</v>
      </c>
      <c r="I35" s="2">
        <v>184</v>
      </c>
      <c r="J35" s="2">
        <v>18</v>
      </c>
      <c r="K35" s="2">
        <v>1.2E-2</v>
      </c>
      <c r="L35" s="2">
        <v>32</v>
      </c>
      <c r="M35" s="2" t="str">
        <f t="shared" si="1"/>
        <v>Safe</v>
      </c>
      <c r="N35" s="2" t="str">
        <f t="shared" si="2"/>
        <v>Safe</v>
      </c>
      <c r="O35" s="2" t="str">
        <f t="shared" si="3"/>
        <v>Unsafe</v>
      </c>
      <c r="P35" s="2" t="str">
        <f t="shared" si="4"/>
        <v>Contaminated</v>
      </c>
    </row>
    <row r="36" spans="1:16" x14ac:dyDescent="0.35">
      <c r="A36" s="2" t="s">
        <v>45</v>
      </c>
      <c r="B36" s="3">
        <v>44594</v>
      </c>
      <c r="C36" s="3" t="str">
        <f t="shared" si="0"/>
        <v>Feb</v>
      </c>
      <c r="D36" s="2" t="s">
        <v>317</v>
      </c>
      <c r="E36" s="2" t="s">
        <v>312</v>
      </c>
      <c r="F36" s="2">
        <v>7.8</v>
      </c>
      <c r="G36" s="2">
        <v>1634</v>
      </c>
      <c r="H36" s="2">
        <v>261</v>
      </c>
      <c r="I36" s="2">
        <v>273</v>
      </c>
      <c r="J36" s="2">
        <v>19</v>
      </c>
      <c r="K36" s="2">
        <v>1.9E-2</v>
      </c>
      <c r="L36" s="2">
        <v>11</v>
      </c>
      <c r="M36" s="2" t="str">
        <f t="shared" si="1"/>
        <v>Safe</v>
      </c>
      <c r="N36" s="2" t="str">
        <f t="shared" si="2"/>
        <v>Safe</v>
      </c>
      <c r="O36" s="2" t="str">
        <f t="shared" si="3"/>
        <v>Unsafe</v>
      </c>
      <c r="P36" s="2" t="str">
        <f t="shared" si="4"/>
        <v>Contaminated</v>
      </c>
    </row>
    <row r="37" spans="1:16" x14ac:dyDescent="0.35">
      <c r="A37" s="2" t="s">
        <v>46</v>
      </c>
      <c r="B37" s="3">
        <v>44641</v>
      </c>
      <c r="C37" s="3" t="str">
        <f t="shared" si="0"/>
        <v>Mar</v>
      </c>
      <c r="D37" s="2" t="s">
        <v>314</v>
      </c>
      <c r="E37" s="2" t="s">
        <v>318</v>
      </c>
      <c r="F37" s="2">
        <v>8.1999999999999993</v>
      </c>
      <c r="G37" s="2">
        <v>1630</v>
      </c>
      <c r="H37" s="2">
        <v>979</v>
      </c>
      <c r="I37" s="2">
        <v>176</v>
      </c>
      <c r="J37" s="2">
        <v>7</v>
      </c>
      <c r="K37" s="2">
        <v>1.9E-2</v>
      </c>
      <c r="L37" s="2">
        <v>11</v>
      </c>
      <c r="M37" s="2" t="str">
        <f t="shared" si="1"/>
        <v>Safe</v>
      </c>
      <c r="N37" s="2" t="str">
        <f t="shared" si="2"/>
        <v>Safe</v>
      </c>
      <c r="O37" s="2" t="str">
        <f t="shared" si="3"/>
        <v>Unsafe</v>
      </c>
      <c r="P37" s="2" t="str">
        <f t="shared" si="4"/>
        <v>Contaminated</v>
      </c>
    </row>
    <row r="38" spans="1:16" x14ac:dyDescent="0.35">
      <c r="A38" s="2" t="s">
        <v>47</v>
      </c>
      <c r="B38" s="3">
        <v>44918</v>
      </c>
      <c r="C38" s="3" t="str">
        <f t="shared" si="0"/>
        <v>Dec</v>
      </c>
      <c r="D38" s="2" t="s">
        <v>313</v>
      </c>
      <c r="E38" s="2" t="s">
        <v>318</v>
      </c>
      <c r="F38" s="2">
        <v>8.3000000000000007</v>
      </c>
      <c r="G38" s="2">
        <v>1196</v>
      </c>
      <c r="H38" s="2">
        <v>304</v>
      </c>
      <c r="I38" s="2">
        <v>76</v>
      </c>
      <c r="J38" s="2">
        <v>41</v>
      </c>
      <c r="K38" s="2">
        <v>1.7999999999999999E-2</v>
      </c>
      <c r="L38" s="2">
        <v>10</v>
      </c>
      <c r="M38" s="2" t="str">
        <f t="shared" si="1"/>
        <v>Safe</v>
      </c>
      <c r="N38" s="2" t="str">
        <f t="shared" si="2"/>
        <v>Safe</v>
      </c>
      <c r="O38" s="2" t="str">
        <f t="shared" si="3"/>
        <v>Unsafe</v>
      </c>
      <c r="P38" s="2" t="str">
        <f t="shared" si="4"/>
        <v>Contaminated</v>
      </c>
    </row>
    <row r="39" spans="1:16" x14ac:dyDescent="0.35">
      <c r="A39" s="2" t="s">
        <v>48</v>
      </c>
      <c r="B39" s="3">
        <v>44816</v>
      </c>
      <c r="C39" s="3" t="str">
        <f t="shared" si="0"/>
        <v>Sep</v>
      </c>
      <c r="D39" s="2" t="s">
        <v>313</v>
      </c>
      <c r="E39" s="2" t="s">
        <v>315</v>
      </c>
      <c r="F39" s="2">
        <v>8.6999999999999993</v>
      </c>
      <c r="G39" s="2">
        <v>1500</v>
      </c>
      <c r="H39" s="2">
        <v>187</v>
      </c>
      <c r="I39" s="2">
        <v>370</v>
      </c>
      <c r="J39" s="2">
        <v>2</v>
      </c>
      <c r="K39" s="2">
        <v>2E-3</v>
      </c>
      <c r="L39" s="2">
        <v>34</v>
      </c>
      <c r="M39" s="2" t="str">
        <f t="shared" si="1"/>
        <v>Unsafe</v>
      </c>
      <c r="N39" s="2" t="str">
        <f t="shared" si="2"/>
        <v>Safe</v>
      </c>
      <c r="O39" s="2" t="str">
        <f t="shared" si="3"/>
        <v>Safe</v>
      </c>
      <c r="P39" s="2" t="str">
        <f t="shared" si="4"/>
        <v>Contaminated</v>
      </c>
    </row>
    <row r="40" spans="1:16" x14ac:dyDescent="0.35">
      <c r="A40" s="2" t="s">
        <v>49</v>
      </c>
      <c r="B40" s="3">
        <v>44793</v>
      </c>
      <c r="C40" s="3" t="str">
        <f t="shared" si="0"/>
        <v>Aug</v>
      </c>
      <c r="D40" s="2" t="s">
        <v>311</v>
      </c>
      <c r="E40" s="2" t="s">
        <v>318</v>
      </c>
      <c r="F40" s="2">
        <v>7.4</v>
      </c>
      <c r="G40" s="2">
        <v>569</v>
      </c>
      <c r="H40" s="2">
        <v>593</v>
      </c>
      <c r="I40" s="2">
        <v>200</v>
      </c>
      <c r="J40" s="2">
        <v>76</v>
      </c>
      <c r="K40" s="2">
        <v>0.02</v>
      </c>
      <c r="L40" s="2">
        <v>16</v>
      </c>
      <c r="M40" s="2" t="str">
        <f t="shared" si="1"/>
        <v>Safe</v>
      </c>
      <c r="N40" s="2" t="str">
        <f t="shared" si="2"/>
        <v>Unsafe</v>
      </c>
      <c r="O40" s="2" t="str">
        <f t="shared" si="3"/>
        <v>Unsafe</v>
      </c>
      <c r="P40" s="2" t="str">
        <f t="shared" si="4"/>
        <v>Contaminated</v>
      </c>
    </row>
    <row r="41" spans="1:16" x14ac:dyDescent="0.35">
      <c r="A41" s="2" t="s">
        <v>50</v>
      </c>
      <c r="B41" s="3">
        <v>44902</v>
      </c>
      <c r="C41" s="3" t="str">
        <f t="shared" si="0"/>
        <v>Dec</v>
      </c>
      <c r="D41" s="2" t="s">
        <v>313</v>
      </c>
      <c r="E41" s="2" t="s">
        <v>312</v>
      </c>
      <c r="F41" s="2">
        <v>7</v>
      </c>
      <c r="G41" s="2">
        <v>1756</v>
      </c>
      <c r="H41" s="2">
        <v>942</v>
      </c>
      <c r="I41" s="2">
        <v>394</v>
      </c>
      <c r="J41" s="2">
        <v>38</v>
      </c>
      <c r="K41" s="2">
        <v>0.02</v>
      </c>
      <c r="L41" s="2">
        <v>19</v>
      </c>
      <c r="M41" s="2" t="str">
        <f t="shared" si="1"/>
        <v>Safe</v>
      </c>
      <c r="N41" s="2" t="str">
        <f t="shared" si="2"/>
        <v>Safe</v>
      </c>
      <c r="O41" s="2" t="str">
        <f t="shared" si="3"/>
        <v>Unsafe</v>
      </c>
      <c r="P41" s="2" t="str">
        <f t="shared" si="4"/>
        <v>Contaminated</v>
      </c>
    </row>
    <row r="42" spans="1:16" x14ac:dyDescent="0.35">
      <c r="A42" s="2" t="s">
        <v>51</v>
      </c>
      <c r="B42" s="3">
        <v>44809</v>
      </c>
      <c r="C42" s="3" t="str">
        <f t="shared" si="0"/>
        <v>Sep</v>
      </c>
      <c r="D42" s="2" t="s">
        <v>314</v>
      </c>
      <c r="E42" s="2" t="s">
        <v>318</v>
      </c>
      <c r="F42" s="2">
        <v>6.4</v>
      </c>
      <c r="G42" s="2">
        <v>804</v>
      </c>
      <c r="H42" s="2">
        <v>602</v>
      </c>
      <c r="I42" s="2">
        <v>342</v>
      </c>
      <c r="J42" s="2">
        <v>21</v>
      </c>
      <c r="K42" s="2">
        <v>1.9E-2</v>
      </c>
      <c r="L42" s="2">
        <v>21</v>
      </c>
      <c r="M42" s="2" t="str">
        <f t="shared" si="1"/>
        <v>Unsafe</v>
      </c>
      <c r="N42" s="2" t="str">
        <f t="shared" si="2"/>
        <v>Safe</v>
      </c>
      <c r="O42" s="2" t="str">
        <f t="shared" si="3"/>
        <v>Unsafe</v>
      </c>
      <c r="P42" s="2" t="str">
        <f t="shared" si="4"/>
        <v>Contaminated</v>
      </c>
    </row>
    <row r="43" spans="1:16" x14ac:dyDescent="0.35">
      <c r="A43" s="2" t="s">
        <v>52</v>
      </c>
      <c r="B43" s="3">
        <v>44642</v>
      </c>
      <c r="C43" s="3" t="str">
        <f t="shared" si="0"/>
        <v>Mar</v>
      </c>
      <c r="D43" s="2" t="s">
        <v>314</v>
      </c>
      <c r="E43" s="2" t="s">
        <v>318</v>
      </c>
      <c r="F43" s="2">
        <v>9</v>
      </c>
      <c r="G43" s="2">
        <v>1182</v>
      </c>
      <c r="H43" s="2">
        <v>1183</v>
      </c>
      <c r="I43" s="2">
        <v>317</v>
      </c>
      <c r="J43" s="2">
        <v>22</v>
      </c>
      <c r="K43" s="2">
        <v>0.02</v>
      </c>
      <c r="L43" s="2">
        <v>30</v>
      </c>
      <c r="M43" s="2" t="str">
        <f t="shared" si="1"/>
        <v>Unsafe</v>
      </c>
      <c r="N43" s="2" t="str">
        <f t="shared" si="2"/>
        <v>Safe</v>
      </c>
      <c r="O43" s="2" t="str">
        <f t="shared" si="3"/>
        <v>Unsafe</v>
      </c>
      <c r="P43" s="2" t="str">
        <f t="shared" si="4"/>
        <v>Contaminated</v>
      </c>
    </row>
    <row r="44" spans="1:16" x14ac:dyDescent="0.35">
      <c r="A44" s="2" t="s">
        <v>53</v>
      </c>
      <c r="B44" s="3">
        <v>44703</v>
      </c>
      <c r="C44" s="3" t="str">
        <f t="shared" si="0"/>
        <v>May</v>
      </c>
      <c r="D44" s="2" t="s">
        <v>317</v>
      </c>
      <c r="E44" s="2" t="s">
        <v>312</v>
      </c>
      <c r="F44" s="2">
        <v>6.4</v>
      </c>
      <c r="G44" s="2">
        <v>546</v>
      </c>
      <c r="H44" s="2">
        <v>838</v>
      </c>
      <c r="I44" s="2">
        <v>210</v>
      </c>
      <c r="J44" s="2">
        <v>13</v>
      </c>
      <c r="K44" s="2">
        <v>0.02</v>
      </c>
      <c r="L44" s="2">
        <v>19</v>
      </c>
      <c r="M44" s="2" t="str">
        <f t="shared" si="1"/>
        <v>Unsafe</v>
      </c>
      <c r="N44" s="2" t="str">
        <f t="shared" si="2"/>
        <v>Safe</v>
      </c>
      <c r="O44" s="2" t="str">
        <f t="shared" si="3"/>
        <v>Unsafe</v>
      </c>
      <c r="P44" s="2" t="str">
        <f t="shared" si="4"/>
        <v>Contaminated</v>
      </c>
    </row>
    <row r="45" spans="1:16" x14ac:dyDescent="0.35">
      <c r="A45" s="2" t="s">
        <v>54</v>
      </c>
      <c r="B45" s="3">
        <v>44685</v>
      </c>
      <c r="C45" s="3" t="str">
        <f t="shared" si="0"/>
        <v>May</v>
      </c>
      <c r="D45" s="2" t="s">
        <v>313</v>
      </c>
      <c r="E45" s="2" t="s">
        <v>312</v>
      </c>
      <c r="F45" s="2">
        <v>6.2</v>
      </c>
      <c r="G45" s="2">
        <v>1399</v>
      </c>
      <c r="H45" s="2">
        <v>1028</v>
      </c>
      <c r="I45" s="2">
        <v>112</v>
      </c>
      <c r="J45" s="2">
        <v>70</v>
      </c>
      <c r="K45" s="2">
        <v>0.02</v>
      </c>
      <c r="L45" s="2">
        <v>34</v>
      </c>
      <c r="M45" s="2" t="str">
        <f t="shared" si="1"/>
        <v>Unsafe</v>
      </c>
      <c r="N45" s="2" t="str">
        <f t="shared" si="2"/>
        <v>Unsafe</v>
      </c>
      <c r="O45" s="2" t="str">
        <f t="shared" si="3"/>
        <v>Unsafe</v>
      </c>
      <c r="P45" s="2" t="str">
        <f t="shared" si="4"/>
        <v>Contaminated</v>
      </c>
    </row>
    <row r="46" spans="1:16" x14ac:dyDescent="0.35">
      <c r="A46" s="2" t="s">
        <v>55</v>
      </c>
      <c r="B46" s="3">
        <v>44564</v>
      </c>
      <c r="C46" s="3" t="str">
        <f t="shared" si="0"/>
        <v>Jan</v>
      </c>
      <c r="D46" s="2" t="s">
        <v>317</v>
      </c>
      <c r="E46" s="2" t="s">
        <v>318</v>
      </c>
      <c r="F46" s="2">
        <v>6.6</v>
      </c>
      <c r="G46" s="2">
        <v>501</v>
      </c>
      <c r="H46" s="2">
        <v>860</v>
      </c>
      <c r="I46" s="2">
        <v>314</v>
      </c>
      <c r="J46" s="2">
        <v>0</v>
      </c>
      <c r="K46" s="2">
        <v>1.4E-2</v>
      </c>
      <c r="L46" s="2">
        <v>29</v>
      </c>
      <c r="M46" s="2" t="str">
        <f t="shared" si="1"/>
        <v>Safe</v>
      </c>
      <c r="N46" s="2" t="str">
        <f t="shared" si="2"/>
        <v>Safe</v>
      </c>
      <c r="O46" s="2" t="str">
        <f t="shared" si="3"/>
        <v>Unsafe</v>
      </c>
      <c r="P46" s="2" t="str">
        <f t="shared" si="4"/>
        <v>Contaminated</v>
      </c>
    </row>
    <row r="47" spans="1:16" x14ac:dyDescent="0.35">
      <c r="A47" s="2" t="s">
        <v>56</v>
      </c>
      <c r="B47" s="3">
        <v>44838</v>
      </c>
      <c r="C47" s="3" t="str">
        <f t="shared" si="0"/>
        <v>Oct</v>
      </c>
      <c r="D47" s="2" t="s">
        <v>311</v>
      </c>
      <c r="E47" s="2" t="s">
        <v>318</v>
      </c>
      <c r="F47" s="2">
        <v>8.5</v>
      </c>
      <c r="G47" s="2">
        <v>694</v>
      </c>
      <c r="H47" s="2">
        <v>763</v>
      </c>
      <c r="I47" s="2">
        <v>107</v>
      </c>
      <c r="J47" s="2">
        <v>28</v>
      </c>
      <c r="K47" s="2">
        <v>1.2E-2</v>
      </c>
      <c r="L47" s="2">
        <v>21</v>
      </c>
      <c r="M47" s="2" t="str">
        <f t="shared" si="1"/>
        <v>Safe</v>
      </c>
      <c r="N47" s="2" t="str">
        <f t="shared" si="2"/>
        <v>Safe</v>
      </c>
      <c r="O47" s="2" t="str">
        <f t="shared" si="3"/>
        <v>Unsafe</v>
      </c>
      <c r="P47" s="2" t="str">
        <f t="shared" si="4"/>
        <v>Contaminated</v>
      </c>
    </row>
    <row r="48" spans="1:16" x14ac:dyDescent="0.35">
      <c r="A48" s="2" t="s">
        <v>57</v>
      </c>
      <c r="B48" s="3">
        <v>44598</v>
      </c>
      <c r="C48" s="3" t="str">
        <f t="shared" si="0"/>
        <v>Feb</v>
      </c>
      <c r="D48" s="2" t="s">
        <v>313</v>
      </c>
      <c r="E48" s="2" t="s">
        <v>312</v>
      </c>
      <c r="F48" s="2">
        <v>9</v>
      </c>
      <c r="G48" s="2">
        <v>1227</v>
      </c>
      <c r="H48" s="2">
        <v>784</v>
      </c>
      <c r="I48" s="2">
        <v>136</v>
      </c>
      <c r="J48" s="2">
        <v>39</v>
      </c>
      <c r="K48" s="2">
        <v>1.2999999999999999E-2</v>
      </c>
      <c r="L48" s="2">
        <v>16</v>
      </c>
      <c r="M48" s="2" t="str">
        <f t="shared" si="1"/>
        <v>Unsafe</v>
      </c>
      <c r="N48" s="2" t="str">
        <f t="shared" si="2"/>
        <v>Safe</v>
      </c>
      <c r="O48" s="2" t="str">
        <f t="shared" si="3"/>
        <v>Unsafe</v>
      </c>
      <c r="P48" s="2" t="str">
        <f t="shared" si="4"/>
        <v>Contaminated</v>
      </c>
    </row>
    <row r="49" spans="1:16" x14ac:dyDescent="0.35">
      <c r="A49" s="2" t="s">
        <v>58</v>
      </c>
      <c r="B49" s="3">
        <v>44913</v>
      </c>
      <c r="C49" s="3" t="str">
        <f t="shared" si="0"/>
        <v>Dec</v>
      </c>
      <c r="D49" s="2" t="s">
        <v>317</v>
      </c>
      <c r="E49" s="2" t="s">
        <v>312</v>
      </c>
      <c r="F49" s="2">
        <v>8.1999999999999993</v>
      </c>
      <c r="G49" s="2">
        <v>1147</v>
      </c>
      <c r="H49" s="2">
        <v>294</v>
      </c>
      <c r="I49" s="2">
        <v>275</v>
      </c>
      <c r="J49" s="2">
        <v>12</v>
      </c>
      <c r="K49" s="2">
        <v>1.2999999999999999E-2</v>
      </c>
      <c r="L49" s="2">
        <v>20</v>
      </c>
      <c r="M49" s="2" t="str">
        <f t="shared" si="1"/>
        <v>Safe</v>
      </c>
      <c r="N49" s="2" t="str">
        <f t="shared" si="2"/>
        <v>Safe</v>
      </c>
      <c r="O49" s="2" t="str">
        <f t="shared" si="3"/>
        <v>Unsafe</v>
      </c>
      <c r="P49" s="2" t="str">
        <f t="shared" si="4"/>
        <v>Contaminated</v>
      </c>
    </row>
    <row r="50" spans="1:16" x14ac:dyDescent="0.35">
      <c r="A50" s="2" t="s">
        <v>59</v>
      </c>
      <c r="B50" s="3">
        <v>44904</v>
      </c>
      <c r="C50" s="3" t="str">
        <f t="shared" si="0"/>
        <v>Dec</v>
      </c>
      <c r="D50" s="2" t="s">
        <v>316</v>
      </c>
      <c r="E50" s="2" t="s">
        <v>315</v>
      </c>
      <c r="F50" s="2">
        <v>6.8</v>
      </c>
      <c r="G50" s="2">
        <v>1555</v>
      </c>
      <c r="H50" s="2">
        <v>128</v>
      </c>
      <c r="I50" s="2">
        <v>104</v>
      </c>
      <c r="J50" s="2">
        <v>5</v>
      </c>
      <c r="K50" s="2">
        <v>1.2E-2</v>
      </c>
      <c r="L50" s="2">
        <v>33</v>
      </c>
      <c r="M50" s="2" t="str">
        <f t="shared" si="1"/>
        <v>Safe</v>
      </c>
      <c r="N50" s="2" t="str">
        <f t="shared" si="2"/>
        <v>Safe</v>
      </c>
      <c r="O50" s="2" t="str">
        <f t="shared" si="3"/>
        <v>Unsafe</v>
      </c>
      <c r="P50" s="2" t="str">
        <f t="shared" si="4"/>
        <v>Contaminated</v>
      </c>
    </row>
    <row r="51" spans="1:16" x14ac:dyDescent="0.35">
      <c r="A51" s="2" t="s">
        <v>60</v>
      </c>
      <c r="B51" s="3">
        <v>44570</v>
      </c>
      <c r="C51" s="3" t="str">
        <f t="shared" si="0"/>
        <v>Jan</v>
      </c>
      <c r="D51" s="2" t="s">
        <v>311</v>
      </c>
      <c r="E51" s="2" t="s">
        <v>315</v>
      </c>
      <c r="F51" s="2">
        <v>8.6</v>
      </c>
      <c r="G51" s="2">
        <v>744</v>
      </c>
      <c r="H51" s="2">
        <v>1187</v>
      </c>
      <c r="I51" s="2">
        <v>77</v>
      </c>
      <c r="J51" s="2">
        <v>14</v>
      </c>
      <c r="K51" s="2">
        <v>8.0000000000000002E-3</v>
      </c>
      <c r="L51" s="2">
        <v>16</v>
      </c>
      <c r="M51" s="2" t="str">
        <f t="shared" si="1"/>
        <v>Unsafe</v>
      </c>
      <c r="N51" s="2" t="str">
        <f t="shared" si="2"/>
        <v>Safe</v>
      </c>
      <c r="O51" s="2" t="str">
        <f t="shared" si="3"/>
        <v>Safe</v>
      </c>
      <c r="P51" s="2" t="str">
        <f t="shared" si="4"/>
        <v>Contaminated</v>
      </c>
    </row>
    <row r="52" spans="1:16" x14ac:dyDescent="0.35">
      <c r="A52" s="2" t="s">
        <v>61</v>
      </c>
      <c r="B52" s="3">
        <v>44586</v>
      </c>
      <c r="C52" s="3" t="str">
        <f t="shared" si="0"/>
        <v>Jan</v>
      </c>
      <c r="D52" s="2" t="s">
        <v>317</v>
      </c>
      <c r="E52" s="2" t="s">
        <v>315</v>
      </c>
      <c r="F52" s="2">
        <v>8.9</v>
      </c>
      <c r="G52" s="2">
        <v>572</v>
      </c>
      <c r="H52" s="2">
        <v>758</v>
      </c>
      <c r="I52" s="2">
        <v>222</v>
      </c>
      <c r="J52" s="2">
        <v>3</v>
      </c>
      <c r="K52" s="2">
        <v>5.0000000000000001E-3</v>
      </c>
      <c r="L52" s="2">
        <v>31</v>
      </c>
      <c r="M52" s="2" t="str">
        <f t="shared" si="1"/>
        <v>Unsafe</v>
      </c>
      <c r="N52" s="2" t="str">
        <f t="shared" si="2"/>
        <v>Safe</v>
      </c>
      <c r="O52" s="2" t="str">
        <f t="shared" si="3"/>
        <v>Safe</v>
      </c>
      <c r="P52" s="2" t="str">
        <f t="shared" si="4"/>
        <v>Contaminated</v>
      </c>
    </row>
    <row r="53" spans="1:16" x14ac:dyDescent="0.35">
      <c r="A53" s="2" t="s">
        <v>62</v>
      </c>
      <c r="B53" s="3">
        <v>44757</v>
      </c>
      <c r="C53" s="3" t="str">
        <f t="shared" si="0"/>
        <v>Jul</v>
      </c>
      <c r="D53" s="2" t="s">
        <v>311</v>
      </c>
      <c r="E53" s="2" t="s">
        <v>318</v>
      </c>
      <c r="F53" s="2">
        <v>8.1999999999999993</v>
      </c>
      <c r="G53" s="2">
        <v>1694</v>
      </c>
      <c r="H53" s="2">
        <v>715</v>
      </c>
      <c r="I53" s="2">
        <v>113</v>
      </c>
      <c r="J53" s="2">
        <v>66</v>
      </c>
      <c r="K53" s="2">
        <v>0</v>
      </c>
      <c r="L53" s="2">
        <v>18</v>
      </c>
      <c r="M53" s="2" t="str">
        <f t="shared" si="1"/>
        <v>Safe</v>
      </c>
      <c r="N53" s="2" t="str">
        <f t="shared" si="2"/>
        <v>Unsafe</v>
      </c>
      <c r="O53" s="2" t="str">
        <f t="shared" si="3"/>
        <v>Safe</v>
      </c>
      <c r="P53" s="2" t="str">
        <f t="shared" si="4"/>
        <v>Contaminated</v>
      </c>
    </row>
    <row r="54" spans="1:16" x14ac:dyDescent="0.35">
      <c r="A54" s="2" t="s">
        <v>63</v>
      </c>
      <c r="B54" s="3">
        <v>44719</v>
      </c>
      <c r="C54" s="3" t="str">
        <f t="shared" si="0"/>
        <v>Jun</v>
      </c>
      <c r="D54" s="2" t="s">
        <v>313</v>
      </c>
      <c r="E54" s="2" t="s">
        <v>315</v>
      </c>
      <c r="F54" s="2">
        <v>6.8</v>
      </c>
      <c r="G54" s="2">
        <v>1568</v>
      </c>
      <c r="H54" s="2">
        <v>1135</v>
      </c>
      <c r="I54" s="2">
        <v>362</v>
      </c>
      <c r="J54" s="2">
        <v>67</v>
      </c>
      <c r="K54" s="2">
        <v>1.9E-2</v>
      </c>
      <c r="L54" s="2">
        <v>20</v>
      </c>
      <c r="M54" s="2" t="str">
        <f t="shared" si="1"/>
        <v>Safe</v>
      </c>
      <c r="N54" s="2" t="str">
        <f t="shared" si="2"/>
        <v>Unsafe</v>
      </c>
      <c r="O54" s="2" t="str">
        <f t="shared" si="3"/>
        <v>Unsafe</v>
      </c>
      <c r="P54" s="2" t="str">
        <f t="shared" si="4"/>
        <v>Contaminated</v>
      </c>
    </row>
    <row r="55" spans="1:16" x14ac:dyDescent="0.35">
      <c r="A55" s="2" t="s">
        <v>64</v>
      </c>
      <c r="B55" s="3">
        <v>44700</v>
      </c>
      <c r="C55" s="3" t="str">
        <f t="shared" si="0"/>
        <v>May</v>
      </c>
      <c r="D55" s="2" t="s">
        <v>316</v>
      </c>
      <c r="E55" s="2" t="s">
        <v>315</v>
      </c>
      <c r="F55" s="2">
        <v>8.6</v>
      </c>
      <c r="G55" s="2">
        <v>226</v>
      </c>
      <c r="H55" s="2">
        <v>481</v>
      </c>
      <c r="I55" s="2">
        <v>169</v>
      </c>
      <c r="J55" s="2">
        <v>20</v>
      </c>
      <c r="K55" s="2">
        <v>1.0999999999999999E-2</v>
      </c>
      <c r="L55" s="2">
        <v>12</v>
      </c>
      <c r="M55" s="2" t="str">
        <f t="shared" si="1"/>
        <v>Unsafe</v>
      </c>
      <c r="N55" s="2" t="str">
        <f t="shared" si="2"/>
        <v>Safe</v>
      </c>
      <c r="O55" s="2" t="str">
        <f t="shared" si="3"/>
        <v>Unsafe</v>
      </c>
      <c r="P55" s="2" t="str">
        <f t="shared" si="4"/>
        <v>Contaminated</v>
      </c>
    </row>
    <row r="56" spans="1:16" x14ac:dyDescent="0.35">
      <c r="A56" s="2" t="s">
        <v>65</v>
      </c>
      <c r="B56" s="3">
        <v>44787</v>
      </c>
      <c r="C56" s="3" t="str">
        <f t="shared" si="0"/>
        <v>Aug</v>
      </c>
      <c r="D56" s="2" t="s">
        <v>313</v>
      </c>
      <c r="E56" s="2" t="s">
        <v>318</v>
      </c>
      <c r="F56" s="2">
        <v>6.8</v>
      </c>
      <c r="G56" s="2">
        <v>1086</v>
      </c>
      <c r="H56" s="2">
        <v>262</v>
      </c>
      <c r="I56" s="2">
        <v>274</v>
      </c>
      <c r="J56" s="2">
        <v>77</v>
      </c>
      <c r="K56" s="2">
        <v>8.9999999999999993E-3</v>
      </c>
      <c r="L56" s="2">
        <v>19</v>
      </c>
      <c r="M56" s="2" t="str">
        <f t="shared" si="1"/>
        <v>Safe</v>
      </c>
      <c r="N56" s="2" t="str">
        <f t="shared" si="2"/>
        <v>Unsafe</v>
      </c>
      <c r="O56" s="2" t="str">
        <f t="shared" si="3"/>
        <v>Safe</v>
      </c>
      <c r="P56" s="2" t="str">
        <f t="shared" si="4"/>
        <v>Contaminated</v>
      </c>
    </row>
    <row r="57" spans="1:16" x14ac:dyDescent="0.35">
      <c r="A57" s="2" t="s">
        <v>66</v>
      </c>
      <c r="B57" s="3">
        <v>44666</v>
      </c>
      <c r="C57" s="3" t="str">
        <f t="shared" si="0"/>
        <v>Apr</v>
      </c>
      <c r="D57" s="2" t="s">
        <v>311</v>
      </c>
      <c r="E57" s="2" t="s">
        <v>315</v>
      </c>
      <c r="F57" s="2">
        <v>7.5</v>
      </c>
      <c r="G57" s="2">
        <v>1066</v>
      </c>
      <c r="H57" s="2">
        <v>792</v>
      </c>
      <c r="I57" s="2">
        <v>82</v>
      </c>
      <c r="J57" s="2">
        <v>7</v>
      </c>
      <c r="K57" s="2">
        <v>0</v>
      </c>
      <c r="L57" s="2">
        <v>16</v>
      </c>
      <c r="M57" s="2" t="str">
        <f t="shared" si="1"/>
        <v>Safe</v>
      </c>
      <c r="N57" s="2" t="str">
        <f t="shared" si="2"/>
        <v>Safe</v>
      </c>
      <c r="O57" s="2" t="str">
        <f t="shared" si="3"/>
        <v>Safe</v>
      </c>
      <c r="P57" s="2" t="str">
        <f t="shared" si="4"/>
        <v>Safe</v>
      </c>
    </row>
    <row r="58" spans="1:16" x14ac:dyDescent="0.35">
      <c r="A58" s="2" t="s">
        <v>67</v>
      </c>
      <c r="B58" s="3">
        <v>44898</v>
      </c>
      <c r="C58" s="3" t="str">
        <f t="shared" si="0"/>
        <v>Dec</v>
      </c>
      <c r="D58" s="2" t="s">
        <v>314</v>
      </c>
      <c r="E58" s="2" t="s">
        <v>315</v>
      </c>
      <c r="F58" s="2">
        <v>8</v>
      </c>
      <c r="G58" s="2">
        <v>799</v>
      </c>
      <c r="H58" s="2">
        <v>391</v>
      </c>
      <c r="I58" s="2">
        <v>211</v>
      </c>
      <c r="J58" s="2">
        <v>17</v>
      </c>
      <c r="K58" s="2">
        <v>7.0000000000000001E-3</v>
      </c>
      <c r="L58" s="2">
        <v>28</v>
      </c>
      <c r="M58" s="2" t="str">
        <f t="shared" si="1"/>
        <v>Safe</v>
      </c>
      <c r="N58" s="2" t="str">
        <f t="shared" si="2"/>
        <v>Safe</v>
      </c>
      <c r="O58" s="2" t="str">
        <f t="shared" si="3"/>
        <v>Safe</v>
      </c>
      <c r="P58" s="2" t="str">
        <f t="shared" si="4"/>
        <v>Safe</v>
      </c>
    </row>
    <row r="59" spans="1:16" x14ac:dyDescent="0.35">
      <c r="A59" s="2" t="s">
        <v>68</v>
      </c>
      <c r="B59" s="3">
        <v>44564</v>
      </c>
      <c r="C59" s="3" t="str">
        <f t="shared" si="0"/>
        <v>Jan</v>
      </c>
      <c r="D59" s="2" t="s">
        <v>313</v>
      </c>
      <c r="E59" s="2" t="s">
        <v>318</v>
      </c>
      <c r="F59" s="2">
        <v>7.4</v>
      </c>
      <c r="G59" s="2">
        <v>1714</v>
      </c>
      <c r="H59" s="2">
        <v>817</v>
      </c>
      <c r="I59" s="2">
        <v>114</v>
      </c>
      <c r="J59" s="2">
        <v>42</v>
      </c>
      <c r="K59" s="2">
        <v>7.0000000000000001E-3</v>
      </c>
      <c r="L59" s="2">
        <v>35</v>
      </c>
      <c r="M59" s="2" t="str">
        <f t="shared" si="1"/>
        <v>Safe</v>
      </c>
      <c r="N59" s="2" t="str">
        <f t="shared" si="2"/>
        <v>Safe</v>
      </c>
      <c r="O59" s="2" t="str">
        <f t="shared" si="3"/>
        <v>Safe</v>
      </c>
      <c r="P59" s="2" t="str">
        <f t="shared" si="4"/>
        <v>Safe</v>
      </c>
    </row>
    <row r="60" spans="1:16" x14ac:dyDescent="0.35">
      <c r="A60" s="2" t="s">
        <v>69</v>
      </c>
      <c r="B60" s="3">
        <v>44684</v>
      </c>
      <c r="C60" s="3" t="str">
        <f t="shared" si="0"/>
        <v>May</v>
      </c>
      <c r="D60" s="2" t="s">
        <v>311</v>
      </c>
      <c r="E60" s="2" t="s">
        <v>315</v>
      </c>
      <c r="F60" s="2">
        <v>6.3</v>
      </c>
      <c r="G60" s="2">
        <v>565</v>
      </c>
      <c r="H60" s="2">
        <v>845</v>
      </c>
      <c r="I60" s="2">
        <v>159</v>
      </c>
      <c r="J60" s="2">
        <v>61</v>
      </c>
      <c r="K60" s="2">
        <v>1E-3</v>
      </c>
      <c r="L60" s="2">
        <v>34</v>
      </c>
      <c r="M60" s="2" t="str">
        <f t="shared" si="1"/>
        <v>Unsafe</v>
      </c>
      <c r="N60" s="2" t="str">
        <f t="shared" si="2"/>
        <v>Unsafe</v>
      </c>
      <c r="O60" s="2" t="str">
        <f t="shared" si="3"/>
        <v>Safe</v>
      </c>
      <c r="P60" s="2" t="str">
        <f t="shared" si="4"/>
        <v>Contaminated</v>
      </c>
    </row>
    <row r="61" spans="1:16" x14ac:dyDescent="0.35">
      <c r="A61" s="2" t="s">
        <v>70</v>
      </c>
      <c r="B61" s="3">
        <v>44904</v>
      </c>
      <c r="C61" s="3" t="str">
        <f t="shared" si="0"/>
        <v>Dec</v>
      </c>
      <c r="D61" s="2" t="s">
        <v>311</v>
      </c>
      <c r="E61" s="2" t="s">
        <v>315</v>
      </c>
      <c r="F61" s="2">
        <v>8.1999999999999993</v>
      </c>
      <c r="G61" s="2">
        <v>1445</v>
      </c>
      <c r="H61" s="2">
        <v>1138</v>
      </c>
      <c r="I61" s="2">
        <v>80</v>
      </c>
      <c r="J61" s="2">
        <v>18</v>
      </c>
      <c r="K61" s="2">
        <v>1.4999999999999999E-2</v>
      </c>
      <c r="L61" s="2">
        <v>31</v>
      </c>
      <c r="M61" s="2" t="str">
        <f t="shared" si="1"/>
        <v>Safe</v>
      </c>
      <c r="N61" s="2" t="str">
        <f t="shared" si="2"/>
        <v>Safe</v>
      </c>
      <c r="O61" s="2" t="str">
        <f t="shared" si="3"/>
        <v>Unsafe</v>
      </c>
      <c r="P61" s="2" t="str">
        <f t="shared" si="4"/>
        <v>Contaminated</v>
      </c>
    </row>
    <row r="62" spans="1:16" x14ac:dyDescent="0.35">
      <c r="A62" s="2" t="s">
        <v>71</v>
      </c>
      <c r="B62" s="3">
        <v>44582</v>
      </c>
      <c r="C62" s="3" t="str">
        <f t="shared" si="0"/>
        <v>Jan</v>
      </c>
      <c r="D62" s="2" t="s">
        <v>316</v>
      </c>
      <c r="E62" s="2" t="s">
        <v>312</v>
      </c>
      <c r="F62" s="2">
        <v>6.6</v>
      </c>
      <c r="G62" s="2">
        <v>1578</v>
      </c>
      <c r="H62" s="2">
        <v>1160</v>
      </c>
      <c r="I62" s="2">
        <v>165</v>
      </c>
      <c r="J62" s="2">
        <v>54</v>
      </c>
      <c r="K62" s="2">
        <v>4.0000000000000001E-3</v>
      </c>
      <c r="L62" s="2">
        <v>16</v>
      </c>
      <c r="M62" s="2" t="str">
        <f t="shared" si="1"/>
        <v>Safe</v>
      </c>
      <c r="N62" s="2" t="str">
        <f t="shared" si="2"/>
        <v>Unsafe</v>
      </c>
      <c r="O62" s="2" t="str">
        <f t="shared" si="3"/>
        <v>Safe</v>
      </c>
      <c r="P62" s="2" t="str">
        <f t="shared" si="4"/>
        <v>Contaminated</v>
      </c>
    </row>
    <row r="63" spans="1:16" x14ac:dyDescent="0.35">
      <c r="A63" s="2" t="s">
        <v>72</v>
      </c>
      <c r="B63" s="3">
        <v>44921</v>
      </c>
      <c r="C63" s="3" t="str">
        <f t="shared" si="0"/>
        <v>Dec</v>
      </c>
      <c r="D63" s="2" t="s">
        <v>317</v>
      </c>
      <c r="E63" s="2" t="s">
        <v>312</v>
      </c>
      <c r="F63" s="2">
        <v>8</v>
      </c>
      <c r="G63" s="2">
        <v>508</v>
      </c>
      <c r="H63" s="2">
        <v>1084</v>
      </c>
      <c r="I63" s="2">
        <v>112</v>
      </c>
      <c r="J63" s="2">
        <v>15</v>
      </c>
      <c r="K63" s="2">
        <v>1.0999999999999999E-2</v>
      </c>
      <c r="L63" s="2">
        <v>24</v>
      </c>
      <c r="M63" s="2" t="str">
        <f t="shared" si="1"/>
        <v>Safe</v>
      </c>
      <c r="N63" s="2" t="str">
        <f t="shared" si="2"/>
        <v>Safe</v>
      </c>
      <c r="O63" s="2" t="str">
        <f t="shared" si="3"/>
        <v>Unsafe</v>
      </c>
      <c r="P63" s="2" t="str">
        <f t="shared" si="4"/>
        <v>Contaminated</v>
      </c>
    </row>
    <row r="64" spans="1:16" x14ac:dyDescent="0.35">
      <c r="A64" s="2" t="s">
        <v>73</v>
      </c>
      <c r="B64" s="3">
        <v>44841</v>
      </c>
      <c r="C64" s="3" t="str">
        <f t="shared" si="0"/>
        <v>Oct</v>
      </c>
      <c r="D64" s="2" t="s">
        <v>317</v>
      </c>
      <c r="E64" s="2" t="s">
        <v>315</v>
      </c>
      <c r="F64" s="2">
        <v>7</v>
      </c>
      <c r="G64" s="2">
        <v>994</v>
      </c>
      <c r="H64" s="2">
        <v>1037</v>
      </c>
      <c r="I64" s="2">
        <v>346</v>
      </c>
      <c r="J64" s="2">
        <v>63</v>
      </c>
      <c r="K64" s="2">
        <v>1.9E-2</v>
      </c>
      <c r="L64" s="2">
        <v>30</v>
      </c>
      <c r="M64" s="2" t="str">
        <f t="shared" si="1"/>
        <v>Safe</v>
      </c>
      <c r="N64" s="2" t="str">
        <f t="shared" si="2"/>
        <v>Unsafe</v>
      </c>
      <c r="O64" s="2" t="str">
        <f t="shared" si="3"/>
        <v>Unsafe</v>
      </c>
      <c r="P64" s="2" t="str">
        <f t="shared" si="4"/>
        <v>Contaminated</v>
      </c>
    </row>
    <row r="65" spans="1:16" x14ac:dyDescent="0.35">
      <c r="A65" s="2" t="s">
        <v>74</v>
      </c>
      <c r="B65" s="3">
        <v>44757</v>
      </c>
      <c r="C65" s="3" t="str">
        <f t="shared" si="0"/>
        <v>Jul</v>
      </c>
      <c r="D65" s="2" t="s">
        <v>311</v>
      </c>
      <c r="E65" s="2" t="s">
        <v>315</v>
      </c>
      <c r="F65" s="2">
        <v>8.5</v>
      </c>
      <c r="G65" s="2">
        <v>895</v>
      </c>
      <c r="H65" s="2">
        <v>716</v>
      </c>
      <c r="I65" s="2">
        <v>231</v>
      </c>
      <c r="J65" s="2">
        <v>33</v>
      </c>
      <c r="K65" s="2">
        <v>1.7999999999999999E-2</v>
      </c>
      <c r="L65" s="2">
        <v>21</v>
      </c>
      <c r="M65" s="2" t="str">
        <f t="shared" si="1"/>
        <v>Safe</v>
      </c>
      <c r="N65" s="2" t="str">
        <f t="shared" si="2"/>
        <v>Safe</v>
      </c>
      <c r="O65" s="2" t="str">
        <f t="shared" si="3"/>
        <v>Unsafe</v>
      </c>
      <c r="P65" s="2" t="str">
        <f t="shared" si="4"/>
        <v>Contaminated</v>
      </c>
    </row>
    <row r="66" spans="1:16" x14ac:dyDescent="0.35">
      <c r="A66" s="2" t="s">
        <v>75</v>
      </c>
      <c r="B66" s="3">
        <v>44824</v>
      </c>
      <c r="C66" s="3" t="str">
        <f t="shared" si="0"/>
        <v>Sep</v>
      </c>
      <c r="D66" s="2" t="s">
        <v>317</v>
      </c>
      <c r="E66" s="2" t="s">
        <v>315</v>
      </c>
      <c r="F66" s="2">
        <v>7.4</v>
      </c>
      <c r="G66" s="2">
        <v>531</v>
      </c>
      <c r="H66" s="2">
        <v>809</v>
      </c>
      <c r="I66" s="2">
        <v>74</v>
      </c>
      <c r="J66" s="2">
        <v>31</v>
      </c>
      <c r="K66" s="2">
        <v>1.6E-2</v>
      </c>
      <c r="L66" s="2">
        <v>17</v>
      </c>
      <c r="M66" s="2" t="str">
        <f t="shared" si="1"/>
        <v>Safe</v>
      </c>
      <c r="N66" s="2" t="str">
        <f t="shared" si="2"/>
        <v>Safe</v>
      </c>
      <c r="O66" s="2" t="str">
        <f t="shared" si="3"/>
        <v>Unsafe</v>
      </c>
      <c r="P66" s="2" t="str">
        <f t="shared" si="4"/>
        <v>Contaminated</v>
      </c>
    </row>
    <row r="67" spans="1:16" x14ac:dyDescent="0.35">
      <c r="A67" s="2" t="s">
        <v>76</v>
      </c>
      <c r="B67" s="3">
        <v>44682</v>
      </c>
      <c r="C67" s="3" t="str">
        <f t="shared" ref="C67:C130" si="5">TEXT(B67,"mmm")</f>
        <v>May</v>
      </c>
      <c r="D67" s="2" t="s">
        <v>316</v>
      </c>
      <c r="E67" s="2" t="s">
        <v>318</v>
      </c>
      <c r="F67" s="2">
        <v>7.8</v>
      </c>
      <c r="G67" s="2">
        <v>1565</v>
      </c>
      <c r="H67" s="2">
        <v>250</v>
      </c>
      <c r="I67" s="2">
        <v>282</v>
      </c>
      <c r="J67" s="2">
        <v>27</v>
      </c>
      <c r="K67" s="2">
        <v>1.4E-2</v>
      </c>
      <c r="L67" s="2">
        <v>14</v>
      </c>
      <c r="M67" s="2" t="str">
        <f t="shared" ref="M67:M130" si="6">IF(OR(F67&lt;6.5,F67&gt;8.5),"Unsafe","Safe")</f>
        <v>Safe</v>
      </c>
      <c r="N67" s="2" t="str">
        <f t="shared" ref="N67:N130" si="7">IF(J67&gt;50,"Unsafe","Safe")</f>
        <v>Safe</v>
      </c>
      <c r="O67" s="2" t="str">
        <f t="shared" ref="O67:O130" si="8">IF(K67&gt;0.01,"Unsafe","Safe")</f>
        <v>Unsafe</v>
      </c>
      <c r="P67" s="2" t="str">
        <f t="shared" ref="P67:P130" si="9">IF(OR(M67="Unsafe",N67="Unsafe",O67="Unsafe"),"Contaminated","Safe")</f>
        <v>Contaminated</v>
      </c>
    </row>
    <row r="68" spans="1:16" x14ac:dyDescent="0.35">
      <c r="A68" s="2" t="s">
        <v>77</v>
      </c>
      <c r="B68" s="3">
        <v>44782</v>
      </c>
      <c r="C68" s="3" t="str">
        <f t="shared" si="5"/>
        <v>Aug</v>
      </c>
      <c r="D68" s="2" t="s">
        <v>316</v>
      </c>
      <c r="E68" s="2" t="s">
        <v>312</v>
      </c>
      <c r="F68" s="2">
        <v>6.9</v>
      </c>
      <c r="G68" s="2">
        <v>451</v>
      </c>
      <c r="H68" s="2">
        <v>559</v>
      </c>
      <c r="I68" s="2">
        <v>320</v>
      </c>
      <c r="J68" s="2">
        <v>7</v>
      </c>
      <c r="K68" s="2">
        <v>8.9999999999999993E-3</v>
      </c>
      <c r="L68" s="2">
        <v>30</v>
      </c>
      <c r="M68" s="2" t="str">
        <f t="shared" si="6"/>
        <v>Safe</v>
      </c>
      <c r="N68" s="2" t="str">
        <f t="shared" si="7"/>
        <v>Safe</v>
      </c>
      <c r="O68" s="2" t="str">
        <f t="shared" si="8"/>
        <v>Safe</v>
      </c>
      <c r="P68" s="2" t="str">
        <f t="shared" si="9"/>
        <v>Safe</v>
      </c>
    </row>
    <row r="69" spans="1:16" x14ac:dyDescent="0.35">
      <c r="A69" s="2" t="s">
        <v>78</v>
      </c>
      <c r="B69" s="3">
        <v>44779</v>
      </c>
      <c r="C69" s="3" t="str">
        <f t="shared" si="5"/>
        <v>Aug</v>
      </c>
      <c r="D69" s="2" t="s">
        <v>313</v>
      </c>
      <c r="E69" s="2" t="s">
        <v>315</v>
      </c>
      <c r="F69" s="2">
        <v>8.1999999999999993</v>
      </c>
      <c r="G69" s="2">
        <v>1063</v>
      </c>
      <c r="H69" s="2">
        <v>1024</v>
      </c>
      <c r="I69" s="2">
        <v>103</v>
      </c>
      <c r="J69" s="2">
        <v>45</v>
      </c>
      <c r="K69" s="2">
        <v>1.7000000000000001E-2</v>
      </c>
      <c r="L69" s="2">
        <v>10</v>
      </c>
      <c r="M69" s="2" t="str">
        <f t="shared" si="6"/>
        <v>Safe</v>
      </c>
      <c r="N69" s="2" t="str">
        <f t="shared" si="7"/>
        <v>Safe</v>
      </c>
      <c r="O69" s="2" t="str">
        <f t="shared" si="8"/>
        <v>Unsafe</v>
      </c>
      <c r="P69" s="2" t="str">
        <f t="shared" si="9"/>
        <v>Contaminated</v>
      </c>
    </row>
    <row r="70" spans="1:16" x14ac:dyDescent="0.35">
      <c r="A70" s="2" t="s">
        <v>79</v>
      </c>
      <c r="B70" s="3">
        <v>44829</v>
      </c>
      <c r="C70" s="3" t="str">
        <f t="shared" si="5"/>
        <v>Sep</v>
      </c>
      <c r="D70" s="2" t="s">
        <v>317</v>
      </c>
      <c r="E70" s="2" t="s">
        <v>318</v>
      </c>
      <c r="F70" s="2">
        <v>7.3</v>
      </c>
      <c r="G70" s="2">
        <v>211</v>
      </c>
      <c r="H70" s="2">
        <v>319</v>
      </c>
      <c r="I70" s="2">
        <v>97</v>
      </c>
      <c r="J70" s="2">
        <v>51</v>
      </c>
      <c r="K70" s="2">
        <v>5.0000000000000001E-3</v>
      </c>
      <c r="L70" s="2">
        <v>21</v>
      </c>
      <c r="M70" s="2" t="str">
        <f t="shared" si="6"/>
        <v>Safe</v>
      </c>
      <c r="N70" s="2" t="str">
        <f t="shared" si="7"/>
        <v>Unsafe</v>
      </c>
      <c r="O70" s="2" t="str">
        <f t="shared" si="8"/>
        <v>Safe</v>
      </c>
      <c r="P70" s="2" t="str">
        <f t="shared" si="9"/>
        <v>Contaminated</v>
      </c>
    </row>
    <row r="71" spans="1:16" x14ac:dyDescent="0.35">
      <c r="A71" s="2" t="s">
        <v>80</v>
      </c>
      <c r="B71" s="3">
        <v>44887</v>
      </c>
      <c r="C71" s="3" t="str">
        <f t="shared" si="5"/>
        <v>Nov</v>
      </c>
      <c r="D71" s="2" t="s">
        <v>311</v>
      </c>
      <c r="E71" s="2" t="s">
        <v>318</v>
      </c>
      <c r="F71" s="2">
        <v>6.4</v>
      </c>
      <c r="G71" s="2">
        <v>1706</v>
      </c>
      <c r="H71" s="2">
        <v>699</v>
      </c>
      <c r="I71" s="2">
        <v>334</v>
      </c>
      <c r="J71" s="2">
        <v>12</v>
      </c>
      <c r="K71" s="2">
        <v>0.01</v>
      </c>
      <c r="L71" s="2">
        <v>29</v>
      </c>
      <c r="M71" s="2" t="str">
        <f t="shared" si="6"/>
        <v>Unsafe</v>
      </c>
      <c r="N71" s="2" t="str">
        <f t="shared" si="7"/>
        <v>Safe</v>
      </c>
      <c r="O71" s="2" t="str">
        <f t="shared" si="8"/>
        <v>Safe</v>
      </c>
      <c r="P71" s="2" t="str">
        <f t="shared" si="9"/>
        <v>Contaminated</v>
      </c>
    </row>
    <row r="72" spans="1:16" x14ac:dyDescent="0.35">
      <c r="A72" s="2" t="s">
        <v>81</v>
      </c>
      <c r="B72" s="3">
        <v>44610</v>
      </c>
      <c r="C72" s="3" t="str">
        <f t="shared" si="5"/>
        <v>Feb</v>
      </c>
      <c r="D72" s="2" t="s">
        <v>313</v>
      </c>
      <c r="E72" s="2" t="s">
        <v>312</v>
      </c>
      <c r="F72" s="2">
        <v>6.1</v>
      </c>
      <c r="G72" s="2">
        <v>298</v>
      </c>
      <c r="H72" s="2">
        <v>1127</v>
      </c>
      <c r="I72" s="2">
        <v>264</v>
      </c>
      <c r="J72" s="2">
        <v>62</v>
      </c>
      <c r="K72" s="2">
        <v>1.4E-2</v>
      </c>
      <c r="L72" s="2">
        <v>11</v>
      </c>
      <c r="M72" s="2" t="str">
        <f t="shared" si="6"/>
        <v>Unsafe</v>
      </c>
      <c r="N72" s="2" t="str">
        <f t="shared" si="7"/>
        <v>Unsafe</v>
      </c>
      <c r="O72" s="2" t="str">
        <f t="shared" si="8"/>
        <v>Unsafe</v>
      </c>
      <c r="P72" s="2" t="str">
        <f t="shared" si="9"/>
        <v>Contaminated</v>
      </c>
    </row>
    <row r="73" spans="1:16" x14ac:dyDescent="0.35">
      <c r="A73" s="2" t="s">
        <v>82</v>
      </c>
      <c r="B73" s="3">
        <v>44901</v>
      </c>
      <c r="C73" s="3" t="str">
        <f t="shared" si="5"/>
        <v>Dec</v>
      </c>
      <c r="D73" s="2" t="s">
        <v>313</v>
      </c>
      <c r="E73" s="2" t="s">
        <v>312</v>
      </c>
      <c r="F73" s="2">
        <v>6</v>
      </c>
      <c r="G73" s="2">
        <v>252</v>
      </c>
      <c r="H73" s="2">
        <v>1134</v>
      </c>
      <c r="I73" s="2">
        <v>102</v>
      </c>
      <c r="J73" s="2">
        <v>31</v>
      </c>
      <c r="K73" s="2">
        <v>1.4E-2</v>
      </c>
      <c r="L73" s="2">
        <v>23</v>
      </c>
      <c r="M73" s="2" t="str">
        <f t="shared" si="6"/>
        <v>Unsafe</v>
      </c>
      <c r="N73" s="2" t="str">
        <f t="shared" si="7"/>
        <v>Safe</v>
      </c>
      <c r="O73" s="2" t="str">
        <f t="shared" si="8"/>
        <v>Unsafe</v>
      </c>
      <c r="P73" s="2" t="str">
        <f t="shared" si="9"/>
        <v>Contaminated</v>
      </c>
    </row>
    <row r="74" spans="1:16" x14ac:dyDescent="0.35">
      <c r="A74" s="2" t="s">
        <v>83</v>
      </c>
      <c r="B74" s="3">
        <v>44768</v>
      </c>
      <c r="C74" s="3" t="str">
        <f t="shared" si="5"/>
        <v>Jul</v>
      </c>
      <c r="D74" s="2" t="s">
        <v>314</v>
      </c>
      <c r="E74" s="2" t="s">
        <v>315</v>
      </c>
      <c r="F74" s="2">
        <v>7.8</v>
      </c>
      <c r="G74" s="2">
        <v>858</v>
      </c>
      <c r="H74" s="2">
        <v>693</v>
      </c>
      <c r="I74" s="2">
        <v>289</v>
      </c>
      <c r="J74" s="2">
        <v>75</v>
      </c>
      <c r="K74" s="2">
        <v>7.0000000000000001E-3</v>
      </c>
      <c r="L74" s="2">
        <v>24</v>
      </c>
      <c r="M74" s="2" t="str">
        <f t="shared" si="6"/>
        <v>Safe</v>
      </c>
      <c r="N74" s="2" t="str">
        <f t="shared" si="7"/>
        <v>Unsafe</v>
      </c>
      <c r="O74" s="2" t="str">
        <f t="shared" si="8"/>
        <v>Safe</v>
      </c>
      <c r="P74" s="2" t="str">
        <f t="shared" si="9"/>
        <v>Contaminated</v>
      </c>
    </row>
    <row r="75" spans="1:16" x14ac:dyDescent="0.35">
      <c r="A75" s="2" t="s">
        <v>84</v>
      </c>
      <c r="B75" s="3">
        <v>44598</v>
      </c>
      <c r="C75" s="3" t="str">
        <f t="shared" si="5"/>
        <v>Feb</v>
      </c>
      <c r="D75" s="2" t="s">
        <v>311</v>
      </c>
      <c r="E75" s="2" t="s">
        <v>318</v>
      </c>
      <c r="F75" s="2">
        <v>8.8000000000000007</v>
      </c>
      <c r="G75" s="2">
        <v>1619</v>
      </c>
      <c r="H75" s="2">
        <v>768</v>
      </c>
      <c r="I75" s="2">
        <v>274</v>
      </c>
      <c r="J75" s="2">
        <v>63</v>
      </c>
      <c r="K75" s="2">
        <v>3.0000000000000001E-3</v>
      </c>
      <c r="L75" s="2">
        <v>10</v>
      </c>
      <c r="M75" s="2" t="str">
        <f t="shared" si="6"/>
        <v>Unsafe</v>
      </c>
      <c r="N75" s="2" t="str">
        <f t="shared" si="7"/>
        <v>Unsafe</v>
      </c>
      <c r="O75" s="2" t="str">
        <f t="shared" si="8"/>
        <v>Safe</v>
      </c>
      <c r="P75" s="2" t="str">
        <f t="shared" si="9"/>
        <v>Contaminated</v>
      </c>
    </row>
    <row r="76" spans="1:16" x14ac:dyDescent="0.35">
      <c r="A76" s="2" t="s">
        <v>85</v>
      </c>
      <c r="B76" s="3">
        <v>44732</v>
      </c>
      <c r="C76" s="3" t="str">
        <f t="shared" si="5"/>
        <v>Jun</v>
      </c>
      <c r="D76" s="2" t="s">
        <v>316</v>
      </c>
      <c r="E76" s="2" t="s">
        <v>318</v>
      </c>
      <c r="F76" s="2">
        <v>6.5</v>
      </c>
      <c r="G76" s="2">
        <v>1773</v>
      </c>
      <c r="H76" s="2">
        <v>929</v>
      </c>
      <c r="I76" s="2">
        <v>71</v>
      </c>
      <c r="J76" s="2">
        <v>42</v>
      </c>
      <c r="K76" s="2">
        <v>4.0000000000000001E-3</v>
      </c>
      <c r="L76" s="2">
        <v>15</v>
      </c>
      <c r="M76" s="2" t="str">
        <f t="shared" si="6"/>
        <v>Safe</v>
      </c>
      <c r="N76" s="2" t="str">
        <f t="shared" si="7"/>
        <v>Safe</v>
      </c>
      <c r="O76" s="2" t="str">
        <f t="shared" si="8"/>
        <v>Safe</v>
      </c>
      <c r="P76" s="2" t="str">
        <f t="shared" si="9"/>
        <v>Safe</v>
      </c>
    </row>
    <row r="77" spans="1:16" x14ac:dyDescent="0.35">
      <c r="A77" s="2" t="s">
        <v>86</v>
      </c>
      <c r="B77" s="3">
        <v>44678</v>
      </c>
      <c r="C77" s="3" t="str">
        <f t="shared" si="5"/>
        <v>Apr</v>
      </c>
      <c r="D77" s="2" t="s">
        <v>314</v>
      </c>
      <c r="E77" s="2" t="s">
        <v>318</v>
      </c>
      <c r="F77" s="2">
        <v>6.9</v>
      </c>
      <c r="G77" s="2">
        <v>676</v>
      </c>
      <c r="H77" s="2">
        <v>319</v>
      </c>
      <c r="I77" s="2">
        <v>312</v>
      </c>
      <c r="J77" s="2">
        <v>70</v>
      </c>
      <c r="K77" s="2">
        <v>0</v>
      </c>
      <c r="L77" s="2">
        <v>23</v>
      </c>
      <c r="M77" s="2" t="str">
        <f t="shared" si="6"/>
        <v>Safe</v>
      </c>
      <c r="N77" s="2" t="str">
        <f t="shared" si="7"/>
        <v>Unsafe</v>
      </c>
      <c r="O77" s="2" t="str">
        <f t="shared" si="8"/>
        <v>Safe</v>
      </c>
      <c r="P77" s="2" t="str">
        <f t="shared" si="9"/>
        <v>Contaminated</v>
      </c>
    </row>
    <row r="78" spans="1:16" x14ac:dyDescent="0.35">
      <c r="A78" s="2" t="s">
        <v>87</v>
      </c>
      <c r="B78" s="3">
        <v>44573</v>
      </c>
      <c r="C78" s="3" t="str">
        <f t="shared" si="5"/>
        <v>Jan</v>
      </c>
      <c r="D78" s="2" t="s">
        <v>317</v>
      </c>
      <c r="E78" s="2" t="s">
        <v>312</v>
      </c>
      <c r="F78" s="2">
        <v>7.5</v>
      </c>
      <c r="G78" s="2">
        <v>403</v>
      </c>
      <c r="H78" s="2">
        <v>1135</v>
      </c>
      <c r="I78" s="2">
        <v>202</v>
      </c>
      <c r="J78" s="2">
        <v>11</v>
      </c>
      <c r="K78" s="2">
        <v>8.9999999999999993E-3</v>
      </c>
      <c r="L78" s="2">
        <v>10</v>
      </c>
      <c r="M78" s="2" t="str">
        <f t="shared" si="6"/>
        <v>Safe</v>
      </c>
      <c r="N78" s="2" t="str">
        <f t="shared" si="7"/>
        <v>Safe</v>
      </c>
      <c r="O78" s="2" t="str">
        <f t="shared" si="8"/>
        <v>Safe</v>
      </c>
      <c r="P78" s="2" t="str">
        <f t="shared" si="9"/>
        <v>Safe</v>
      </c>
    </row>
    <row r="79" spans="1:16" x14ac:dyDescent="0.35">
      <c r="A79" s="2" t="s">
        <v>88</v>
      </c>
      <c r="B79" s="3">
        <v>44805</v>
      </c>
      <c r="C79" s="3" t="str">
        <f t="shared" si="5"/>
        <v>Sep</v>
      </c>
      <c r="D79" s="2" t="s">
        <v>314</v>
      </c>
      <c r="E79" s="2" t="s">
        <v>315</v>
      </c>
      <c r="F79" s="2">
        <v>8.3000000000000007</v>
      </c>
      <c r="G79" s="2">
        <v>572</v>
      </c>
      <c r="H79" s="2">
        <v>833</v>
      </c>
      <c r="I79" s="2">
        <v>357</v>
      </c>
      <c r="J79" s="2">
        <v>22</v>
      </c>
      <c r="K79" s="2">
        <v>0</v>
      </c>
      <c r="L79" s="2">
        <v>24</v>
      </c>
      <c r="M79" s="2" t="str">
        <f t="shared" si="6"/>
        <v>Safe</v>
      </c>
      <c r="N79" s="2" t="str">
        <f t="shared" si="7"/>
        <v>Safe</v>
      </c>
      <c r="O79" s="2" t="str">
        <f t="shared" si="8"/>
        <v>Safe</v>
      </c>
      <c r="P79" s="2" t="str">
        <f t="shared" si="9"/>
        <v>Safe</v>
      </c>
    </row>
    <row r="80" spans="1:16" x14ac:dyDescent="0.35">
      <c r="A80" s="2" t="s">
        <v>89</v>
      </c>
      <c r="B80" s="3">
        <v>44593</v>
      </c>
      <c r="C80" s="3" t="str">
        <f t="shared" si="5"/>
        <v>Feb</v>
      </c>
      <c r="D80" s="2" t="s">
        <v>311</v>
      </c>
      <c r="E80" s="2" t="s">
        <v>318</v>
      </c>
      <c r="F80" s="2">
        <v>8.8000000000000007</v>
      </c>
      <c r="G80" s="2">
        <v>216</v>
      </c>
      <c r="H80" s="2">
        <v>1051</v>
      </c>
      <c r="I80" s="2">
        <v>212</v>
      </c>
      <c r="J80" s="2">
        <v>9</v>
      </c>
      <c r="K80" s="2">
        <v>8.9999999999999993E-3</v>
      </c>
      <c r="L80" s="2">
        <v>34</v>
      </c>
      <c r="M80" s="2" t="str">
        <f t="shared" si="6"/>
        <v>Unsafe</v>
      </c>
      <c r="N80" s="2" t="str">
        <f t="shared" si="7"/>
        <v>Safe</v>
      </c>
      <c r="O80" s="2" t="str">
        <f t="shared" si="8"/>
        <v>Safe</v>
      </c>
      <c r="P80" s="2" t="str">
        <f t="shared" si="9"/>
        <v>Contaminated</v>
      </c>
    </row>
    <row r="81" spans="1:16" x14ac:dyDescent="0.35">
      <c r="A81" s="2" t="s">
        <v>90</v>
      </c>
      <c r="B81" s="3">
        <v>44703</v>
      </c>
      <c r="C81" s="3" t="str">
        <f t="shared" si="5"/>
        <v>May</v>
      </c>
      <c r="D81" s="2" t="s">
        <v>313</v>
      </c>
      <c r="E81" s="2" t="s">
        <v>315</v>
      </c>
      <c r="F81" s="2">
        <v>8.8000000000000007</v>
      </c>
      <c r="G81" s="2">
        <v>622</v>
      </c>
      <c r="H81" s="2">
        <v>853</v>
      </c>
      <c r="I81" s="2">
        <v>187</v>
      </c>
      <c r="J81" s="2">
        <v>3</v>
      </c>
      <c r="K81" s="2">
        <v>1.6E-2</v>
      </c>
      <c r="L81" s="2">
        <v>30</v>
      </c>
      <c r="M81" s="2" t="str">
        <f t="shared" si="6"/>
        <v>Unsafe</v>
      </c>
      <c r="N81" s="2" t="str">
        <f t="shared" si="7"/>
        <v>Safe</v>
      </c>
      <c r="O81" s="2" t="str">
        <f t="shared" si="8"/>
        <v>Unsafe</v>
      </c>
      <c r="P81" s="2" t="str">
        <f t="shared" si="9"/>
        <v>Contaminated</v>
      </c>
    </row>
    <row r="82" spans="1:16" x14ac:dyDescent="0.35">
      <c r="A82" s="2" t="s">
        <v>91</v>
      </c>
      <c r="B82" s="3">
        <v>44682</v>
      </c>
      <c r="C82" s="3" t="str">
        <f t="shared" si="5"/>
        <v>May</v>
      </c>
      <c r="D82" s="2" t="s">
        <v>314</v>
      </c>
      <c r="E82" s="2" t="s">
        <v>312</v>
      </c>
      <c r="F82" s="2">
        <v>8.1</v>
      </c>
      <c r="G82" s="2">
        <v>589</v>
      </c>
      <c r="H82" s="2">
        <v>964</v>
      </c>
      <c r="I82" s="2">
        <v>369</v>
      </c>
      <c r="J82" s="2">
        <v>6</v>
      </c>
      <c r="K82" s="2">
        <v>1.9E-2</v>
      </c>
      <c r="L82" s="2">
        <v>35</v>
      </c>
      <c r="M82" s="2" t="str">
        <f t="shared" si="6"/>
        <v>Safe</v>
      </c>
      <c r="N82" s="2" t="str">
        <f t="shared" si="7"/>
        <v>Safe</v>
      </c>
      <c r="O82" s="2" t="str">
        <f t="shared" si="8"/>
        <v>Unsafe</v>
      </c>
      <c r="P82" s="2" t="str">
        <f t="shared" si="9"/>
        <v>Contaminated</v>
      </c>
    </row>
    <row r="83" spans="1:16" x14ac:dyDescent="0.35">
      <c r="A83" s="2" t="s">
        <v>92</v>
      </c>
      <c r="B83" s="3">
        <v>44923</v>
      </c>
      <c r="C83" s="3" t="str">
        <f t="shared" si="5"/>
        <v>Dec</v>
      </c>
      <c r="D83" s="2" t="s">
        <v>314</v>
      </c>
      <c r="E83" s="2" t="s">
        <v>315</v>
      </c>
      <c r="F83" s="2">
        <v>6.7</v>
      </c>
      <c r="G83" s="2">
        <v>770</v>
      </c>
      <c r="H83" s="2">
        <v>855</v>
      </c>
      <c r="I83" s="2">
        <v>331</v>
      </c>
      <c r="J83" s="2">
        <v>13</v>
      </c>
      <c r="K83" s="2">
        <v>3.0000000000000001E-3</v>
      </c>
      <c r="L83" s="2">
        <v>14</v>
      </c>
      <c r="M83" s="2" t="str">
        <f t="shared" si="6"/>
        <v>Safe</v>
      </c>
      <c r="N83" s="2" t="str">
        <f t="shared" si="7"/>
        <v>Safe</v>
      </c>
      <c r="O83" s="2" t="str">
        <f t="shared" si="8"/>
        <v>Safe</v>
      </c>
      <c r="P83" s="2" t="str">
        <f t="shared" si="9"/>
        <v>Safe</v>
      </c>
    </row>
    <row r="84" spans="1:16" x14ac:dyDescent="0.35">
      <c r="A84" s="2" t="s">
        <v>93</v>
      </c>
      <c r="B84" s="3">
        <v>44589</v>
      </c>
      <c r="C84" s="3" t="str">
        <f t="shared" si="5"/>
        <v>Jan</v>
      </c>
      <c r="D84" s="2" t="s">
        <v>317</v>
      </c>
      <c r="E84" s="2" t="s">
        <v>312</v>
      </c>
      <c r="F84" s="2">
        <v>8.1</v>
      </c>
      <c r="G84" s="2">
        <v>1122</v>
      </c>
      <c r="H84" s="2">
        <v>164</v>
      </c>
      <c r="I84" s="2">
        <v>294</v>
      </c>
      <c r="J84" s="2">
        <v>76</v>
      </c>
      <c r="K84" s="2">
        <v>1.2999999999999999E-2</v>
      </c>
      <c r="L84" s="2">
        <v>22</v>
      </c>
      <c r="M84" s="2" t="str">
        <f t="shared" si="6"/>
        <v>Safe</v>
      </c>
      <c r="N84" s="2" t="str">
        <f t="shared" si="7"/>
        <v>Unsafe</v>
      </c>
      <c r="O84" s="2" t="str">
        <f t="shared" si="8"/>
        <v>Unsafe</v>
      </c>
      <c r="P84" s="2" t="str">
        <f t="shared" si="9"/>
        <v>Contaminated</v>
      </c>
    </row>
    <row r="85" spans="1:16" x14ac:dyDescent="0.35">
      <c r="A85" s="2" t="s">
        <v>94</v>
      </c>
      <c r="B85" s="3">
        <v>44621</v>
      </c>
      <c r="C85" s="3" t="str">
        <f t="shared" si="5"/>
        <v>Mar</v>
      </c>
      <c r="D85" s="2" t="s">
        <v>311</v>
      </c>
      <c r="E85" s="2" t="s">
        <v>315</v>
      </c>
      <c r="F85" s="2">
        <v>7.3</v>
      </c>
      <c r="G85" s="2">
        <v>1548</v>
      </c>
      <c r="H85" s="2">
        <v>631</v>
      </c>
      <c r="I85" s="2">
        <v>395</v>
      </c>
      <c r="J85" s="2">
        <v>13</v>
      </c>
      <c r="K85" s="2">
        <v>1.4999999999999999E-2</v>
      </c>
      <c r="L85" s="2">
        <v>25</v>
      </c>
      <c r="M85" s="2" t="str">
        <f t="shared" si="6"/>
        <v>Safe</v>
      </c>
      <c r="N85" s="2" t="str">
        <f t="shared" si="7"/>
        <v>Safe</v>
      </c>
      <c r="O85" s="2" t="str">
        <f t="shared" si="8"/>
        <v>Unsafe</v>
      </c>
      <c r="P85" s="2" t="str">
        <f t="shared" si="9"/>
        <v>Contaminated</v>
      </c>
    </row>
    <row r="86" spans="1:16" x14ac:dyDescent="0.35">
      <c r="A86" s="2" t="s">
        <v>95</v>
      </c>
      <c r="B86" s="3">
        <v>44807</v>
      </c>
      <c r="C86" s="3" t="str">
        <f t="shared" si="5"/>
        <v>Sep</v>
      </c>
      <c r="D86" s="2" t="s">
        <v>317</v>
      </c>
      <c r="E86" s="2" t="s">
        <v>318</v>
      </c>
      <c r="F86" s="2">
        <v>6</v>
      </c>
      <c r="G86" s="2">
        <v>1600</v>
      </c>
      <c r="H86" s="2">
        <v>818</v>
      </c>
      <c r="I86" s="2">
        <v>219</v>
      </c>
      <c r="J86" s="2">
        <v>63</v>
      </c>
      <c r="K86" s="2">
        <v>8.9999999999999993E-3</v>
      </c>
      <c r="L86" s="2">
        <v>14</v>
      </c>
      <c r="M86" s="2" t="str">
        <f t="shared" si="6"/>
        <v>Unsafe</v>
      </c>
      <c r="N86" s="2" t="str">
        <f t="shared" si="7"/>
        <v>Unsafe</v>
      </c>
      <c r="O86" s="2" t="str">
        <f t="shared" si="8"/>
        <v>Safe</v>
      </c>
      <c r="P86" s="2" t="str">
        <f t="shared" si="9"/>
        <v>Contaminated</v>
      </c>
    </row>
    <row r="87" spans="1:16" x14ac:dyDescent="0.35">
      <c r="A87" s="2" t="s">
        <v>96</v>
      </c>
      <c r="B87" s="3">
        <v>44858</v>
      </c>
      <c r="C87" s="3" t="str">
        <f t="shared" si="5"/>
        <v>Oct</v>
      </c>
      <c r="D87" s="2" t="s">
        <v>317</v>
      </c>
      <c r="E87" s="2" t="s">
        <v>318</v>
      </c>
      <c r="F87" s="2">
        <v>8.3000000000000007</v>
      </c>
      <c r="G87" s="2">
        <v>1223</v>
      </c>
      <c r="H87" s="2">
        <v>798</v>
      </c>
      <c r="I87" s="2">
        <v>126</v>
      </c>
      <c r="J87" s="2">
        <v>54</v>
      </c>
      <c r="K87" s="2">
        <v>1.9E-2</v>
      </c>
      <c r="L87" s="2">
        <v>11</v>
      </c>
      <c r="M87" s="2" t="str">
        <f t="shared" si="6"/>
        <v>Safe</v>
      </c>
      <c r="N87" s="2" t="str">
        <f t="shared" si="7"/>
        <v>Unsafe</v>
      </c>
      <c r="O87" s="2" t="str">
        <f t="shared" si="8"/>
        <v>Unsafe</v>
      </c>
      <c r="P87" s="2" t="str">
        <f t="shared" si="9"/>
        <v>Contaminated</v>
      </c>
    </row>
    <row r="88" spans="1:16" x14ac:dyDescent="0.35">
      <c r="A88" s="2" t="s">
        <v>97</v>
      </c>
      <c r="B88" s="3">
        <v>44875</v>
      </c>
      <c r="C88" s="3" t="str">
        <f t="shared" si="5"/>
        <v>Nov</v>
      </c>
      <c r="D88" s="2" t="s">
        <v>316</v>
      </c>
      <c r="E88" s="2" t="s">
        <v>318</v>
      </c>
      <c r="F88" s="2">
        <v>8</v>
      </c>
      <c r="G88" s="2">
        <v>510</v>
      </c>
      <c r="H88" s="2">
        <v>1138</v>
      </c>
      <c r="I88" s="2">
        <v>135</v>
      </c>
      <c r="J88" s="2">
        <v>16</v>
      </c>
      <c r="K88" s="2">
        <v>0.01</v>
      </c>
      <c r="L88" s="2">
        <v>31</v>
      </c>
      <c r="M88" s="2" t="str">
        <f t="shared" si="6"/>
        <v>Safe</v>
      </c>
      <c r="N88" s="2" t="str">
        <f t="shared" si="7"/>
        <v>Safe</v>
      </c>
      <c r="O88" s="2" t="str">
        <f t="shared" si="8"/>
        <v>Safe</v>
      </c>
      <c r="P88" s="2" t="str">
        <f t="shared" si="9"/>
        <v>Safe</v>
      </c>
    </row>
    <row r="89" spans="1:16" x14ac:dyDescent="0.35">
      <c r="A89" s="2" t="s">
        <v>98</v>
      </c>
      <c r="B89" s="3">
        <v>44687</v>
      </c>
      <c r="C89" s="3" t="str">
        <f t="shared" si="5"/>
        <v>May</v>
      </c>
      <c r="D89" s="2" t="s">
        <v>311</v>
      </c>
      <c r="E89" s="2" t="s">
        <v>312</v>
      </c>
      <c r="F89" s="2">
        <v>8.4</v>
      </c>
      <c r="G89" s="2">
        <v>1461</v>
      </c>
      <c r="H89" s="2">
        <v>291</v>
      </c>
      <c r="I89" s="2">
        <v>264</v>
      </c>
      <c r="J89" s="2">
        <v>17</v>
      </c>
      <c r="K89" s="2">
        <v>3.0000000000000001E-3</v>
      </c>
      <c r="L89" s="2">
        <v>16</v>
      </c>
      <c r="M89" s="2" t="str">
        <f t="shared" si="6"/>
        <v>Safe</v>
      </c>
      <c r="N89" s="2" t="str">
        <f t="shared" si="7"/>
        <v>Safe</v>
      </c>
      <c r="O89" s="2" t="str">
        <f t="shared" si="8"/>
        <v>Safe</v>
      </c>
      <c r="P89" s="2" t="str">
        <f t="shared" si="9"/>
        <v>Safe</v>
      </c>
    </row>
    <row r="90" spans="1:16" x14ac:dyDescent="0.35">
      <c r="A90" s="2" t="s">
        <v>99</v>
      </c>
      <c r="B90" s="3">
        <v>44623</v>
      </c>
      <c r="C90" s="3" t="str">
        <f t="shared" si="5"/>
        <v>Mar</v>
      </c>
      <c r="D90" s="2" t="s">
        <v>317</v>
      </c>
      <c r="E90" s="2" t="s">
        <v>318</v>
      </c>
      <c r="F90" s="2">
        <v>7.1</v>
      </c>
      <c r="G90" s="2">
        <v>1502</v>
      </c>
      <c r="H90" s="2">
        <v>793</v>
      </c>
      <c r="I90" s="2">
        <v>66</v>
      </c>
      <c r="J90" s="2">
        <v>30</v>
      </c>
      <c r="K90" s="2">
        <v>1.4999999999999999E-2</v>
      </c>
      <c r="L90" s="2">
        <v>21</v>
      </c>
      <c r="M90" s="2" t="str">
        <f t="shared" si="6"/>
        <v>Safe</v>
      </c>
      <c r="N90" s="2" t="str">
        <f t="shared" si="7"/>
        <v>Safe</v>
      </c>
      <c r="O90" s="2" t="str">
        <f t="shared" si="8"/>
        <v>Unsafe</v>
      </c>
      <c r="P90" s="2" t="str">
        <f t="shared" si="9"/>
        <v>Contaminated</v>
      </c>
    </row>
    <row r="91" spans="1:16" x14ac:dyDescent="0.35">
      <c r="A91" s="2" t="s">
        <v>100</v>
      </c>
      <c r="B91" s="3">
        <v>44884</v>
      </c>
      <c r="C91" s="3" t="str">
        <f t="shared" si="5"/>
        <v>Nov</v>
      </c>
      <c r="D91" s="2" t="s">
        <v>317</v>
      </c>
      <c r="E91" s="2" t="s">
        <v>312</v>
      </c>
      <c r="F91" s="2">
        <v>8.1</v>
      </c>
      <c r="G91" s="2">
        <v>371</v>
      </c>
      <c r="H91" s="2">
        <v>479</v>
      </c>
      <c r="I91" s="2">
        <v>86</v>
      </c>
      <c r="J91" s="2">
        <v>35</v>
      </c>
      <c r="K91" s="2">
        <v>5.0000000000000001E-3</v>
      </c>
      <c r="L91" s="2">
        <v>29</v>
      </c>
      <c r="M91" s="2" t="str">
        <f t="shared" si="6"/>
        <v>Safe</v>
      </c>
      <c r="N91" s="2" t="str">
        <f t="shared" si="7"/>
        <v>Safe</v>
      </c>
      <c r="O91" s="2" t="str">
        <f t="shared" si="8"/>
        <v>Safe</v>
      </c>
      <c r="P91" s="2" t="str">
        <f t="shared" si="9"/>
        <v>Safe</v>
      </c>
    </row>
    <row r="92" spans="1:16" x14ac:dyDescent="0.35">
      <c r="A92" s="2" t="s">
        <v>101</v>
      </c>
      <c r="B92" s="3">
        <v>44699</v>
      </c>
      <c r="C92" s="3" t="str">
        <f t="shared" si="5"/>
        <v>May</v>
      </c>
      <c r="D92" s="2" t="s">
        <v>311</v>
      </c>
      <c r="E92" s="2" t="s">
        <v>312</v>
      </c>
      <c r="F92" s="2">
        <v>6.2</v>
      </c>
      <c r="G92" s="2">
        <v>595</v>
      </c>
      <c r="H92" s="2">
        <v>1048</v>
      </c>
      <c r="I92" s="2">
        <v>242</v>
      </c>
      <c r="J92" s="2">
        <v>56</v>
      </c>
      <c r="K92" s="2">
        <v>0</v>
      </c>
      <c r="L92" s="2">
        <v>33</v>
      </c>
      <c r="M92" s="2" t="str">
        <f t="shared" si="6"/>
        <v>Unsafe</v>
      </c>
      <c r="N92" s="2" t="str">
        <f t="shared" si="7"/>
        <v>Unsafe</v>
      </c>
      <c r="O92" s="2" t="str">
        <f t="shared" si="8"/>
        <v>Safe</v>
      </c>
      <c r="P92" s="2" t="str">
        <f t="shared" si="9"/>
        <v>Contaminated</v>
      </c>
    </row>
    <row r="93" spans="1:16" x14ac:dyDescent="0.35">
      <c r="A93" s="2" t="s">
        <v>102</v>
      </c>
      <c r="B93" s="3">
        <v>44632</v>
      </c>
      <c r="C93" s="3" t="str">
        <f t="shared" si="5"/>
        <v>Mar</v>
      </c>
      <c r="D93" s="2" t="s">
        <v>317</v>
      </c>
      <c r="E93" s="2" t="s">
        <v>315</v>
      </c>
      <c r="F93" s="2">
        <v>6.4</v>
      </c>
      <c r="G93" s="2">
        <v>1648</v>
      </c>
      <c r="H93" s="2">
        <v>1038</v>
      </c>
      <c r="I93" s="2">
        <v>364</v>
      </c>
      <c r="J93" s="2">
        <v>31</v>
      </c>
      <c r="K93" s="2">
        <v>6.0000000000000001E-3</v>
      </c>
      <c r="L93" s="2">
        <v>11</v>
      </c>
      <c r="M93" s="2" t="str">
        <f t="shared" si="6"/>
        <v>Unsafe</v>
      </c>
      <c r="N93" s="2" t="str">
        <f t="shared" si="7"/>
        <v>Safe</v>
      </c>
      <c r="O93" s="2" t="str">
        <f t="shared" si="8"/>
        <v>Safe</v>
      </c>
      <c r="P93" s="2" t="str">
        <f t="shared" si="9"/>
        <v>Contaminated</v>
      </c>
    </row>
    <row r="94" spans="1:16" x14ac:dyDescent="0.35">
      <c r="A94" s="2" t="s">
        <v>103</v>
      </c>
      <c r="B94" s="3">
        <v>44656</v>
      </c>
      <c r="C94" s="3" t="str">
        <f t="shared" si="5"/>
        <v>Apr</v>
      </c>
      <c r="D94" s="2" t="s">
        <v>311</v>
      </c>
      <c r="E94" s="2" t="s">
        <v>315</v>
      </c>
      <c r="F94" s="2">
        <v>8.3000000000000007</v>
      </c>
      <c r="G94" s="2">
        <v>1667</v>
      </c>
      <c r="H94" s="2">
        <v>150</v>
      </c>
      <c r="I94" s="2">
        <v>194</v>
      </c>
      <c r="J94" s="2">
        <v>37</v>
      </c>
      <c r="K94" s="2">
        <v>2E-3</v>
      </c>
      <c r="L94" s="2">
        <v>13</v>
      </c>
      <c r="M94" s="2" t="str">
        <f t="shared" si="6"/>
        <v>Safe</v>
      </c>
      <c r="N94" s="2" t="str">
        <f t="shared" si="7"/>
        <v>Safe</v>
      </c>
      <c r="O94" s="2" t="str">
        <f t="shared" si="8"/>
        <v>Safe</v>
      </c>
      <c r="P94" s="2" t="str">
        <f t="shared" si="9"/>
        <v>Safe</v>
      </c>
    </row>
    <row r="95" spans="1:16" x14ac:dyDescent="0.35">
      <c r="A95" s="2" t="s">
        <v>104</v>
      </c>
      <c r="B95" s="3">
        <v>44835</v>
      </c>
      <c r="C95" s="3" t="str">
        <f t="shared" si="5"/>
        <v>Oct</v>
      </c>
      <c r="D95" s="2" t="s">
        <v>316</v>
      </c>
      <c r="E95" s="2" t="s">
        <v>312</v>
      </c>
      <c r="F95" s="2">
        <v>7.9</v>
      </c>
      <c r="G95" s="2">
        <v>591</v>
      </c>
      <c r="H95" s="2">
        <v>384</v>
      </c>
      <c r="I95" s="2">
        <v>199</v>
      </c>
      <c r="J95" s="2">
        <v>76</v>
      </c>
      <c r="K95" s="2">
        <v>8.9999999999999993E-3</v>
      </c>
      <c r="L95" s="2">
        <v>17</v>
      </c>
      <c r="M95" s="2" t="str">
        <f t="shared" si="6"/>
        <v>Safe</v>
      </c>
      <c r="N95" s="2" t="str">
        <f t="shared" si="7"/>
        <v>Unsafe</v>
      </c>
      <c r="O95" s="2" t="str">
        <f t="shared" si="8"/>
        <v>Safe</v>
      </c>
      <c r="P95" s="2" t="str">
        <f t="shared" si="9"/>
        <v>Contaminated</v>
      </c>
    </row>
    <row r="96" spans="1:16" x14ac:dyDescent="0.35">
      <c r="A96" s="2" t="s">
        <v>105</v>
      </c>
      <c r="B96" s="3">
        <v>44606</v>
      </c>
      <c r="C96" s="3" t="str">
        <f t="shared" si="5"/>
        <v>Feb</v>
      </c>
      <c r="D96" s="2" t="s">
        <v>316</v>
      </c>
      <c r="E96" s="2" t="s">
        <v>318</v>
      </c>
      <c r="F96" s="2">
        <v>6.6</v>
      </c>
      <c r="G96" s="2">
        <v>1791</v>
      </c>
      <c r="H96" s="2">
        <v>824</v>
      </c>
      <c r="I96" s="2">
        <v>396</v>
      </c>
      <c r="J96" s="2">
        <v>61</v>
      </c>
      <c r="K96" s="2">
        <v>7.0000000000000001E-3</v>
      </c>
      <c r="L96" s="2">
        <v>10</v>
      </c>
      <c r="M96" s="2" t="str">
        <f t="shared" si="6"/>
        <v>Safe</v>
      </c>
      <c r="N96" s="2" t="str">
        <f t="shared" si="7"/>
        <v>Unsafe</v>
      </c>
      <c r="O96" s="2" t="str">
        <f t="shared" si="8"/>
        <v>Safe</v>
      </c>
      <c r="P96" s="2" t="str">
        <f t="shared" si="9"/>
        <v>Contaminated</v>
      </c>
    </row>
    <row r="97" spans="1:16" x14ac:dyDescent="0.35">
      <c r="A97" s="2" t="s">
        <v>106</v>
      </c>
      <c r="B97" s="3">
        <v>44678</v>
      </c>
      <c r="C97" s="3" t="str">
        <f t="shared" si="5"/>
        <v>Apr</v>
      </c>
      <c r="D97" s="2" t="s">
        <v>313</v>
      </c>
      <c r="E97" s="2" t="s">
        <v>315</v>
      </c>
      <c r="F97" s="2">
        <v>7.6</v>
      </c>
      <c r="G97" s="2">
        <v>962</v>
      </c>
      <c r="H97" s="2">
        <v>890</v>
      </c>
      <c r="I97" s="2">
        <v>367</v>
      </c>
      <c r="J97" s="2">
        <v>20</v>
      </c>
      <c r="K97" s="2">
        <v>0.01</v>
      </c>
      <c r="L97" s="2">
        <v>34</v>
      </c>
      <c r="M97" s="2" t="str">
        <f t="shared" si="6"/>
        <v>Safe</v>
      </c>
      <c r="N97" s="2" t="str">
        <f t="shared" si="7"/>
        <v>Safe</v>
      </c>
      <c r="O97" s="2" t="str">
        <f t="shared" si="8"/>
        <v>Safe</v>
      </c>
      <c r="P97" s="2" t="str">
        <f t="shared" si="9"/>
        <v>Safe</v>
      </c>
    </row>
    <row r="98" spans="1:16" x14ac:dyDescent="0.35">
      <c r="A98" s="2" t="s">
        <v>107</v>
      </c>
      <c r="B98" s="3">
        <v>44818</v>
      </c>
      <c r="C98" s="3" t="str">
        <f t="shared" si="5"/>
        <v>Sep</v>
      </c>
      <c r="D98" s="2" t="s">
        <v>314</v>
      </c>
      <c r="E98" s="2" t="s">
        <v>315</v>
      </c>
      <c r="F98" s="2">
        <v>8.1</v>
      </c>
      <c r="G98" s="2">
        <v>1179</v>
      </c>
      <c r="H98" s="2">
        <v>224</v>
      </c>
      <c r="I98" s="2">
        <v>125</v>
      </c>
      <c r="J98" s="2">
        <v>37</v>
      </c>
      <c r="K98" s="2">
        <v>2E-3</v>
      </c>
      <c r="L98" s="2">
        <v>30</v>
      </c>
      <c r="M98" s="2" t="str">
        <f t="shared" si="6"/>
        <v>Safe</v>
      </c>
      <c r="N98" s="2" t="str">
        <f t="shared" si="7"/>
        <v>Safe</v>
      </c>
      <c r="O98" s="2" t="str">
        <f t="shared" si="8"/>
        <v>Safe</v>
      </c>
      <c r="P98" s="2" t="str">
        <f t="shared" si="9"/>
        <v>Safe</v>
      </c>
    </row>
    <row r="99" spans="1:16" x14ac:dyDescent="0.35">
      <c r="A99" s="2" t="s">
        <v>108</v>
      </c>
      <c r="B99" s="3">
        <v>44744</v>
      </c>
      <c r="C99" s="3" t="str">
        <f t="shared" si="5"/>
        <v>Jul</v>
      </c>
      <c r="D99" s="2" t="s">
        <v>316</v>
      </c>
      <c r="E99" s="2" t="s">
        <v>315</v>
      </c>
      <c r="F99" s="2">
        <v>7</v>
      </c>
      <c r="G99" s="2">
        <v>1036</v>
      </c>
      <c r="H99" s="2">
        <v>764</v>
      </c>
      <c r="I99" s="2">
        <v>82</v>
      </c>
      <c r="J99" s="2">
        <v>9</v>
      </c>
      <c r="K99" s="2">
        <v>6.0000000000000001E-3</v>
      </c>
      <c r="L99" s="2">
        <v>25</v>
      </c>
      <c r="M99" s="2" t="str">
        <f t="shared" si="6"/>
        <v>Safe</v>
      </c>
      <c r="N99" s="2" t="str">
        <f t="shared" si="7"/>
        <v>Safe</v>
      </c>
      <c r="O99" s="2" t="str">
        <f t="shared" si="8"/>
        <v>Safe</v>
      </c>
      <c r="P99" s="2" t="str">
        <f t="shared" si="9"/>
        <v>Safe</v>
      </c>
    </row>
    <row r="100" spans="1:16" x14ac:dyDescent="0.35">
      <c r="A100" s="2" t="s">
        <v>109</v>
      </c>
      <c r="B100" s="3">
        <v>44564</v>
      </c>
      <c r="C100" s="3" t="str">
        <f t="shared" si="5"/>
        <v>Jan</v>
      </c>
      <c r="D100" s="2" t="s">
        <v>311</v>
      </c>
      <c r="E100" s="2" t="s">
        <v>315</v>
      </c>
      <c r="F100" s="2">
        <v>6.8</v>
      </c>
      <c r="G100" s="2">
        <v>1302</v>
      </c>
      <c r="H100" s="2">
        <v>272</v>
      </c>
      <c r="I100" s="2">
        <v>266</v>
      </c>
      <c r="J100" s="2">
        <v>33</v>
      </c>
      <c r="K100" s="2">
        <v>4.0000000000000001E-3</v>
      </c>
      <c r="L100" s="2">
        <v>25</v>
      </c>
      <c r="M100" s="2" t="str">
        <f t="shared" si="6"/>
        <v>Safe</v>
      </c>
      <c r="N100" s="2" t="str">
        <f t="shared" si="7"/>
        <v>Safe</v>
      </c>
      <c r="O100" s="2" t="str">
        <f t="shared" si="8"/>
        <v>Safe</v>
      </c>
      <c r="P100" s="2" t="str">
        <f t="shared" si="9"/>
        <v>Safe</v>
      </c>
    </row>
    <row r="101" spans="1:16" x14ac:dyDescent="0.35">
      <c r="A101" s="2" t="s">
        <v>110</v>
      </c>
      <c r="B101" s="3">
        <v>44564</v>
      </c>
      <c r="C101" s="3" t="str">
        <f t="shared" si="5"/>
        <v>Jan</v>
      </c>
      <c r="D101" s="2" t="s">
        <v>316</v>
      </c>
      <c r="E101" s="2" t="s">
        <v>318</v>
      </c>
      <c r="F101" s="2">
        <v>9</v>
      </c>
      <c r="G101" s="2">
        <v>1390</v>
      </c>
      <c r="H101" s="2">
        <v>608</v>
      </c>
      <c r="I101" s="2">
        <v>275</v>
      </c>
      <c r="J101" s="2">
        <v>63</v>
      </c>
      <c r="K101" s="2">
        <v>0.01</v>
      </c>
      <c r="L101" s="2">
        <v>23</v>
      </c>
      <c r="M101" s="2" t="str">
        <f t="shared" si="6"/>
        <v>Unsafe</v>
      </c>
      <c r="N101" s="2" t="str">
        <f t="shared" si="7"/>
        <v>Unsafe</v>
      </c>
      <c r="O101" s="2" t="str">
        <f t="shared" si="8"/>
        <v>Safe</v>
      </c>
      <c r="P101" s="2" t="str">
        <f t="shared" si="9"/>
        <v>Contaminated</v>
      </c>
    </row>
    <row r="102" spans="1:16" x14ac:dyDescent="0.35">
      <c r="A102" s="2" t="s">
        <v>111</v>
      </c>
      <c r="B102" s="3">
        <v>44905</v>
      </c>
      <c r="C102" s="3" t="str">
        <f t="shared" si="5"/>
        <v>Dec</v>
      </c>
      <c r="D102" s="2" t="s">
        <v>311</v>
      </c>
      <c r="E102" s="2" t="s">
        <v>318</v>
      </c>
      <c r="F102" s="2">
        <v>6.9</v>
      </c>
      <c r="G102" s="2">
        <v>965</v>
      </c>
      <c r="H102" s="2">
        <v>218</v>
      </c>
      <c r="I102" s="2">
        <v>186</v>
      </c>
      <c r="J102" s="2">
        <v>66</v>
      </c>
      <c r="K102" s="2">
        <v>7.0000000000000001E-3</v>
      </c>
      <c r="L102" s="2">
        <v>20</v>
      </c>
      <c r="M102" s="2" t="str">
        <f t="shared" si="6"/>
        <v>Safe</v>
      </c>
      <c r="N102" s="2" t="str">
        <f t="shared" si="7"/>
        <v>Unsafe</v>
      </c>
      <c r="O102" s="2" t="str">
        <f t="shared" si="8"/>
        <v>Safe</v>
      </c>
      <c r="P102" s="2" t="str">
        <f t="shared" si="9"/>
        <v>Contaminated</v>
      </c>
    </row>
    <row r="103" spans="1:16" x14ac:dyDescent="0.35">
      <c r="A103" s="2" t="s">
        <v>112</v>
      </c>
      <c r="B103" s="3">
        <v>44855</v>
      </c>
      <c r="C103" s="3" t="str">
        <f t="shared" si="5"/>
        <v>Oct</v>
      </c>
      <c r="D103" s="2" t="s">
        <v>311</v>
      </c>
      <c r="E103" s="2" t="s">
        <v>318</v>
      </c>
      <c r="F103" s="2">
        <v>6.3</v>
      </c>
      <c r="G103" s="2">
        <v>1683</v>
      </c>
      <c r="H103" s="2">
        <v>287</v>
      </c>
      <c r="I103" s="2">
        <v>131</v>
      </c>
      <c r="J103" s="2">
        <v>36</v>
      </c>
      <c r="K103" s="2">
        <v>8.9999999999999993E-3</v>
      </c>
      <c r="L103" s="2">
        <v>33</v>
      </c>
      <c r="M103" s="2" t="str">
        <f t="shared" si="6"/>
        <v>Unsafe</v>
      </c>
      <c r="N103" s="2" t="str">
        <f t="shared" si="7"/>
        <v>Safe</v>
      </c>
      <c r="O103" s="2" t="str">
        <f t="shared" si="8"/>
        <v>Safe</v>
      </c>
      <c r="P103" s="2" t="str">
        <f t="shared" si="9"/>
        <v>Contaminated</v>
      </c>
    </row>
    <row r="104" spans="1:16" x14ac:dyDescent="0.35">
      <c r="A104" s="2" t="s">
        <v>113</v>
      </c>
      <c r="B104" s="3">
        <v>44861</v>
      </c>
      <c r="C104" s="3" t="str">
        <f t="shared" si="5"/>
        <v>Oct</v>
      </c>
      <c r="D104" s="2" t="s">
        <v>311</v>
      </c>
      <c r="E104" s="2" t="s">
        <v>318</v>
      </c>
      <c r="F104" s="2">
        <v>6.9</v>
      </c>
      <c r="G104" s="2">
        <v>341</v>
      </c>
      <c r="H104" s="2">
        <v>633</v>
      </c>
      <c r="I104" s="2">
        <v>123</v>
      </c>
      <c r="J104" s="2">
        <v>17</v>
      </c>
      <c r="K104" s="2">
        <v>0.01</v>
      </c>
      <c r="L104" s="2">
        <v>10</v>
      </c>
      <c r="M104" s="2" t="str">
        <f t="shared" si="6"/>
        <v>Safe</v>
      </c>
      <c r="N104" s="2" t="str">
        <f t="shared" si="7"/>
        <v>Safe</v>
      </c>
      <c r="O104" s="2" t="str">
        <f t="shared" si="8"/>
        <v>Safe</v>
      </c>
      <c r="P104" s="2" t="str">
        <f t="shared" si="9"/>
        <v>Safe</v>
      </c>
    </row>
    <row r="105" spans="1:16" x14ac:dyDescent="0.35">
      <c r="A105" s="2" t="s">
        <v>114</v>
      </c>
      <c r="B105" s="3">
        <v>44652</v>
      </c>
      <c r="C105" s="3" t="str">
        <f t="shared" si="5"/>
        <v>Apr</v>
      </c>
      <c r="D105" s="2" t="s">
        <v>316</v>
      </c>
      <c r="E105" s="2" t="s">
        <v>312</v>
      </c>
      <c r="F105" s="2">
        <v>7.8</v>
      </c>
      <c r="G105" s="2">
        <v>1555</v>
      </c>
      <c r="H105" s="2">
        <v>813</v>
      </c>
      <c r="I105" s="2">
        <v>108</v>
      </c>
      <c r="J105" s="2">
        <v>21</v>
      </c>
      <c r="K105" s="2">
        <v>1.6E-2</v>
      </c>
      <c r="L105" s="2">
        <v>35</v>
      </c>
      <c r="M105" s="2" t="str">
        <f t="shared" si="6"/>
        <v>Safe</v>
      </c>
      <c r="N105" s="2" t="str">
        <f t="shared" si="7"/>
        <v>Safe</v>
      </c>
      <c r="O105" s="2" t="str">
        <f t="shared" si="8"/>
        <v>Unsafe</v>
      </c>
      <c r="P105" s="2" t="str">
        <f t="shared" si="9"/>
        <v>Contaminated</v>
      </c>
    </row>
    <row r="106" spans="1:16" x14ac:dyDescent="0.35">
      <c r="A106" s="2" t="s">
        <v>115</v>
      </c>
      <c r="B106" s="3">
        <v>44825</v>
      </c>
      <c r="C106" s="3" t="str">
        <f t="shared" si="5"/>
        <v>Sep</v>
      </c>
      <c r="D106" s="2" t="s">
        <v>311</v>
      </c>
      <c r="E106" s="2" t="s">
        <v>312</v>
      </c>
      <c r="F106" s="2">
        <v>8.6999999999999993</v>
      </c>
      <c r="G106" s="2">
        <v>396</v>
      </c>
      <c r="H106" s="2">
        <v>480</v>
      </c>
      <c r="I106" s="2">
        <v>204</v>
      </c>
      <c r="J106" s="2">
        <v>42</v>
      </c>
      <c r="K106" s="2">
        <v>3.0000000000000001E-3</v>
      </c>
      <c r="L106" s="2">
        <v>23</v>
      </c>
      <c r="M106" s="2" t="str">
        <f t="shared" si="6"/>
        <v>Unsafe</v>
      </c>
      <c r="N106" s="2" t="str">
        <f t="shared" si="7"/>
        <v>Safe</v>
      </c>
      <c r="O106" s="2" t="str">
        <f t="shared" si="8"/>
        <v>Safe</v>
      </c>
      <c r="P106" s="2" t="str">
        <f t="shared" si="9"/>
        <v>Contaminated</v>
      </c>
    </row>
    <row r="107" spans="1:16" x14ac:dyDescent="0.35">
      <c r="A107" s="2" t="s">
        <v>116</v>
      </c>
      <c r="B107" s="3">
        <v>44587</v>
      </c>
      <c r="C107" s="3" t="str">
        <f t="shared" si="5"/>
        <v>Jan</v>
      </c>
      <c r="D107" s="2" t="s">
        <v>316</v>
      </c>
      <c r="E107" s="2" t="s">
        <v>318</v>
      </c>
      <c r="F107" s="2">
        <v>6.4</v>
      </c>
      <c r="G107" s="2">
        <v>1767</v>
      </c>
      <c r="H107" s="2">
        <v>947</v>
      </c>
      <c r="I107" s="2">
        <v>211</v>
      </c>
      <c r="J107" s="2">
        <v>70</v>
      </c>
      <c r="K107" s="2">
        <v>8.9999999999999993E-3</v>
      </c>
      <c r="L107" s="2">
        <v>25</v>
      </c>
      <c r="M107" s="2" t="str">
        <f t="shared" si="6"/>
        <v>Unsafe</v>
      </c>
      <c r="N107" s="2" t="str">
        <f t="shared" si="7"/>
        <v>Unsafe</v>
      </c>
      <c r="O107" s="2" t="str">
        <f t="shared" si="8"/>
        <v>Safe</v>
      </c>
      <c r="P107" s="2" t="str">
        <f t="shared" si="9"/>
        <v>Contaminated</v>
      </c>
    </row>
    <row r="108" spans="1:16" x14ac:dyDescent="0.35">
      <c r="A108" s="2" t="s">
        <v>117</v>
      </c>
      <c r="B108" s="3">
        <v>44736</v>
      </c>
      <c r="C108" s="3" t="str">
        <f t="shared" si="5"/>
        <v>Jun</v>
      </c>
      <c r="D108" s="2" t="s">
        <v>314</v>
      </c>
      <c r="E108" s="2" t="s">
        <v>318</v>
      </c>
      <c r="F108" s="2">
        <v>6.1</v>
      </c>
      <c r="G108" s="2">
        <v>662</v>
      </c>
      <c r="H108" s="2">
        <v>448</v>
      </c>
      <c r="I108" s="2">
        <v>318</v>
      </c>
      <c r="J108" s="2">
        <v>64</v>
      </c>
      <c r="K108" s="2">
        <v>1.2E-2</v>
      </c>
      <c r="L108" s="2">
        <v>32</v>
      </c>
      <c r="M108" s="2" t="str">
        <f t="shared" si="6"/>
        <v>Unsafe</v>
      </c>
      <c r="N108" s="2" t="str">
        <f t="shared" si="7"/>
        <v>Unsafe</v>
      </c>
      <c r="O108" s="2" t="str">
        <f t="shared" si="8"/>
        <v>Unsafe</v>
      </c>
      <c r="P108" s="2" t="str">
        <f t="shared" si="9"/>
        <v>Contaminated</v>
      </c>
    </row>
    <row r="109" spans="1:16" x14ac:dyDescent="0.35">
      <c r="A109" s="2" t="s">
        <v>118</v>
      </c>
      <c r="B109" s="3">
        <v>44659</v>
      </c>
      <c r="C109" s="3" t="str">
        <f t="shared" si="5"/>
        <v>Apr</v>
      </c>
      <c r="D109" s="2" t="s">
        <v>311</v>
      </c>
      <c r="E109" s="2" t="s">
        <v>318</v>
      </c>
      <c r="F109" s="2">
        <v>8.4</v>
      </c>
      <c r="G109" s="2">
        <v>319</v>
      </c>
      <c r="H109" s="2">
        <v>119</v>
      </c>
      <c r="I109" s="2">
        <v>230</v>
      </c>
      <c r="J109" s="2">
        <v>23</v>
      </c>
      <c r="K109" s="2">
        <v>8.9999999999999993E-3</v>
      </c>
      <c r="L109" s="2">
        <v>14</v>
      </c>
      <c r="M109" s="2" t="str">
        <f t="shared" si="6"/>
        <v>Safe</v>
      </c>
      <c r="N109" s="2" t="str">
        <f t="shared" si="7"/>
        <v>Safe</v>
      </c>
      <c r="O109" s="2" t="str">
        <f t="shared" si="8"/>
        <v>Safe</v>
      </c>
      <c r="P109" s="2" t="str">
        <f t="shared" si="9"/>
        <v>Safe</v>
      </c>
    </row>
    <row r="110" spans="1:16" x14ac:dyDescent="0.35">
      <c r="A110" s="2" t="s">
        <v>119</v>
      </c>
      <c r="B110" s="3">
        <v>44755</v>
      </c>
      <c r="C110" s="3" t="str">
        <f t="shared" si="5"/>
        <v>Jul</v>
      </c>
      <c r="D110" s="2" t="s">
        <v>311</v>
      </c>
      <c r="E110" s="2" t="s">
        <v>312</v>
      </c>
      <c r="F110" s="2">
        <v>6.1</v>
      </c>
      <c r="G110" s="2">
        <v>1046</v>
      </c>
      <c r="H110" s="2">
        <v>133</v>
      </c>
      <c r="I110" s="2">
        <v>343</v>
      </c>
      <c r="J110" s="2">
        <v>17</v>
      </c>
      <c r="K110" s="2">
        <v>1.9E-2</v>
      </c>
      <c r="L110" s="2">
        <v>32</v>
      </c>
      <c r="M110" s="2" t="str">
        <f t="shared" si="6"/>
        <v>Unsafe</v>
      </c>
      <c r="N110" s="2" t="str">
        <f t="shared" si="7"/>
        <v>Safe</v>
      </c>
      <c r="O110" s="2" t="str">
        <f t="shared" si="8"/>
        <v>Unsafe</v>
      </c>
      <c r="P110" s="2" t="str">
        <f t="shared" si="9"/>
        <v>Contaminated</v>
      </c>
    </row>
    <row r="111" spans="1:16" x14ac:dyDescent="0.35">
      <c r="A111" s="2" t="s">
        <v>120</v>
      </c>
      <c r="B111" s="3">
        <v>44910</v>
      </c>
      <c r="C111" s="3" t="str">
        <f t="shared" si="5"/>
        <v>Dec</v>
      </c>
      <c r="D111" s="2" t="s">
        <v>311</v>
      </c>
      <c r="E111" s="2" t="s">
        <v>312</v>
      </c>
      <c r="F111" s="2">
        <v>8.1</v>
      </c>
      <c r="G111" s="2">
        <v>543</v>
      </c>
      <c r="H111" s="2">
        <v>723</v>
      </c>
      <c r="I111" s="2">
        <v>255</v>
      </c>
      <c r="J111" s="2">
        <v>11</v>
      </c>
      <c r="K111" s="2">
        <v>0</v>
      </c>
      <c r="L111" s="2">
        <v>27</v>
      </c>
      <c r="M111" s="2" t="str">
        <f t="shared" si="6"/>
        <v>Safe</v>
      </c>
      <c r="N111" s="2" t="str">
        <f t="shared" si="7"/>
        <v>Safe</v>
      </c>
      <c r="O111" s="2" t="str">
        <f t="shared" si="8"/>
        <v>Safe</v>
      </c>
      <c r="P111" s="2" t="str">
        <f t="shared" si="9"/>
        <v>Safe</v>
      </c>
    </row>
    <row r="112" spans="1:16" x14ac:dyDescent="0.35">
      <c r="A112" s="2" t="s">
        <v>121</v>
      </c>
      <c r="B112" s="3">
        <v>44792</v>
      </c>
      <c r="C112" s="3" t="str">
        <f t="shared" si="5"/>
        <v>Aug</v>
      </c>
      <c r="D112" s="2" t="s">
        <v>316</v>
      </c>
      <c r="E112" s="2" t="s">
        <v>318</v>
      </c>
      <c r="F112" s="2">
        <v>7.9</v>
      </c>
      <c r="G112" s="2">
        <v>662</v>
      </c>
      <c r="H112" s="2">
        <v>597</v>
      </c>
      <c r="I112" s="2">
        <v>290</v>
      </c>
      <c r="J112" s="2">
        <v>79</v>
      </c>
      <c r="K112" s="2">
        <v>1.2E-2</v>
      </c>
      <c r="L112" s="2">
        <v>34</v>
      </c>
      <c r="M112" s="2" t="str">
        <f t="shared" si="6"/>
        <v>Safe</v>
      </c>
      <c r="N112" s="2" t="str">
        <f t="shared" si="7"/>
        <v>Unsafe</v>
      </c>
      <c r="O112" s="2" t="str">
        <f t="shared" si="8"/>
        <v>Unsafe</v>
      </c>
      <c r="P112" s="2" t="str">
        <f t="shared" si="9"/>
        <v>Contaminated</v>
      </c>
    </row>
    <row r="113" spans="1:16" x14ac:dyDescent="0.35">
      <c r="A113" s="2" t="s">
        <v>122</v>
      </c>
      <c r="B113" s="3">
        <v>44879</v>
      </c>
      <c r="C113" s="3" t="str">
        <f t="shared" si="5"/>
        <v>Nov</v>
      </c>
      <c r="D113" s="2" t="s">
        <v>317</v>
      </c>
      <c r="E113" s="2" t="s">
        <v>318</v>
      </c>
      <c r="F113" s="2">
        <v>6.2</v>
      </c>
      <c r="G113" s="2">
        <v>569</v>
      </c>
      <c r="H113" s="2">
        <v>1124</v>
      </c>
      <c r="I113" s="2">
        <v>94</v>
      </c>
      <c r="J113" s="2">
        <v>35</v>
      </c>
      <c r="K113" s="2">
        <v>0.01</v>
      </c>
      <c r="L113" s="2">
        <v>14</v>
      </c>
      <c r="M113" s="2" t="str">
        <f t="shared" si="6"/>
        <v>Unsafe</v>
      </c>
      <c r="N113" s="2" t="str">
        <f t="shared" si="7"/>
        <v>Safe</v>
      </c>
      <c r="O113" s="2" t="str">
        <f t="shared" si="8"/>
        <v>Safe</v>
      </c>
      <c r="P113" s="2" t="str">
        <f t="shared" si="9"/>
        <v>Contaminated</v>
      </c>
    </row>
    <row r="114" spans="1:16" x14ac:dyDescent="0.35">
      <c r="A114" s="2" t="s">
        <v>123</v>
      </c>
      <c r="B114" s="3">
        <v>44589</v>
      </c>
      <c r="C114" s="3" t="str">
        <f t="shared" si="5"/>
        <v>Jan</v>
      </c>
      <c r="D114" s="2" t="s">
        <v>317</v>
      </c>
      <c r="E114" s="2" t="s">
        <v>312</v>
      </c>
      <c r="F114" s="2">
        <v>8.9</v>
      </c>
      <c r="G114" s="2">
        <v>1066</v>
      </c>
      <c r="H114" s="2">
        <v>181</v>
      </c>
      <c r="I114" s="2">
        <v>172</v>
      </c>
      <c r="J114" s="2">
        <v>23</v>
      </c>
      <c r="K114" s="2">
        <v>1.2E-2</v>
      </c>
      <c r="L114" s="2">
        <v>28</v>
      </c>
      <c r="M114" s="2" t="str">
        <f t="shared" si="6"/>
        <v>Unsafe</v>
      </c>
      <c r="N114" s="2" t="str">
        <f t="shared" si="7"/>
        <v>Safe</v>
      </c>
      <c r="O114" s="2" t="str">
        <f t="shared" si="8"/>
        <v>Unsafe</v>
      </c>
      <c r="P114" s="2" t="str">
        <f t="shared" si="9"/>
        <v>Contaminated</v>
      </c>
    </row>
    <row r="115" spans="1:16" x14ac:dyDescent="0.35">
      <c r="A115" s="2" t="s">
        <v>124</v>
      </c>
      <c r="B115" s="3">
        <v>44884</v>
      </c>
      <c r="C115" s="3" t="str">
        <f t="shared" si="5"/>
        <v>Nov</v>
      </c>
      <c r="D115" s="2" t="s">
        <v>316</v>
      </c>
      <c r="E115" s="2" t="s">
        <v>312</v>
      </c>
      <c r="F115" s="2">
        <v>8.4</v>
      </c>
      <c r="G115" s="2">
        <v>820</v>
      </c>
      <c r="H115" s="2">
        <v>867</v>
      </c>
      <c r="I115" s="2">
        <v>249</v>
      </c>
      <c r="J115" s="2">
        <v>33</v>
      </c>
      <c r="K115" s="2">
        <v>5.0000000000000001E-3</v>
      </c>
      <c r="L115" s="2">
        <v>18</v>
      </c>
      <c r="M115" s="2" t="str">
        <f t="shared" si="6"/>
        <v>Safe</v>
      </c>
      <c r="N115" s="2" t="str">
        <f t="shared" si="7"/>
        <v>Safe</v>
      </c>
      <c r="O115" s="2" t="str">
        <f t="shared" si="8"/>
        <v>Safe</v>
      </c>
      <c r="P115" s="2" t="str">
        <f t="shared" si="9"/>
        <v>Safe</v>
      </c>
    </row>
    <row r="116" spans="1:16" x14ac:dyDescent="0.35">
      <c r="A116" s="2" t="s">
        <v>125</v>
      </c>
      <c r="B116" s="3">
        <v>44837</v>
      </c>
      <c r="C116" s="3" t="str">
        <f t="shared" si="5"/>
        <v>Oct</v>
      </c>
      <c r="D116" s="2" t="s">
        <v>316</v>
      </c>
      <c r="E116" s="2" t="s">
        <v>312</v>
      </c>
      <c r="F116" s="2">
        <v>7.9</v>
      </c>
      <c r="G116" s="2">
        <v>760</v>
      </c>
      <c r="H116" s="2">
        <v>106</v>
      </c>
      <c r="I116" s="2">
        <v>321</v>
      </c>
      <c r="J116" s="2">
        <v>16</v>
      </c>
      <c r="K116" s="2">
        <v>0.01</v>
      </c>
      <c r="L116" s="2">
        <v>29</v>
      </c>
      <c r="M116" s="2" t="str">
        <f t="shared" si="6"/>
        <v>Safe</v>
      </c>
      <c r="N116" s="2" t="str">
        <f t="shared" si="7"/>
        <v>Safe</v>
      </c>
      <c r="O116" s="2" t="str">
        <f t="shared" si="8"/>
        <v>Safe</v>
      </c>
      <c r="P116" s="2" t="str">
        <f t="shared" si="9"/>
        <v>Safe</v>
      </c>
    </row>
    <row r="117" spans="1:16" x14ac:dyDescent="0.35">
      <c r="A117" s="2" t="s">
        <v>126</v>
      </c>
      <c r="B117" s="3">
        <v>44687</v>
      </c>
      <c r="C117" s="3" t="str">
        <f t="shared" si="5"/>
        <v>May</v>
      </c>
      <c r="D117" s="2" t="s">
        <v>317</v>
      </c>
      <c r="E117" s="2" t="s">
        <v>315</v>
      </c>
      <c r="F117" s="2">
        <v>6.6</v>
      </c>
      <c r="G117" s="2">
        <v>1622</v>
      </c>
      <c r="H117" s="2">
        <v>529</v>
      </c>
      <c r="I117" s="2">
        <v>156</v>
      </c>
      <c r="J117" s="2">
        <v>16</v>
      </c>
      <c r="K117" s="2">
        <v>0</v>
      </c>
      <c r="L117" s="2">
        <v>29</v>
      </c>
      <c r="M117" s="2" t="str">
        <f t="shared" si="6"/>
        <v>Safe</v>
      </c>
      <c r="N117" s="2" t="str">
        <f t="shared" si="7"/>
        <v>Safe</v>
      </c>
      <c r="O117" s="2" t="str">
        <f t="shared" si="8"/>
        <v>Safe</v>
      </c>
      <c r="P117" s="2" t="str">
        <f t="shared" si="9"/>
        <v>Safe</v>
      </c>
    </row>
    <row r="118" spans="1:16" x14ac:dyDescent="0.35">
      <c r="A118" s="2" t="s">
        <v>127</v>
      </c>
      <c r="B118" s="3">
        <v>44719</v>
      </c>
      <c r="C118" s="3" t="str">
        <f t="shared" si="5"/>
        <v>Jun</v>
      </c>
      <c r="D118" s="2" t="s">
        <v>311</v>
      </c>
      <c r="E118" s="2" t="s">
        <v>318</v>
      </c>
      <c r="F118" s="2">
        <v>8.5</v>
      </c>
      <c r="G118" s="2">
        <v>335</v>
      </c>
      <c r="H118" s="2">
        <v>834</v>
      </c>
      <c r="I118" s="2">
        <v>183</v>
      </c>
      <c r="J118" s="2">
        <v>1</v>
      </c>
      <c r="K118" s="2">
        <v>3.0000000000000001E-3</v>
      </c>
      <c r="L118" s="2">
        <v>21</v>
      </c>
      <c r="M118" s="2" t="str">
        <f t="shared" si="6"/>
        <v>Safe</v>
      </c>
      <c r="N118" s="2" t="str">
        <f t="shared" si="7"/>
        <v>Safe</v>
      </c>
      <c r="O118" s="2" t="str">
        <f t="shared" si="8"/>
        <v>Safe</v>
      </c>
      <c r="P118" s="2" t="str">
        <f t="shared" si="9"/>
        <v>Safe</v>
      </c>
    </row>
    <row r="119" spans="1:16" x14ac:dyDescent="0.35">
      <c r="A119" s="2" t="s">
        <v>128</v>
      </c>
      <c r="B119" s="3">
        <v>44819</v>
      </c>
      <c r="C119" s="3" t="str">
        <f t="shared" si="5"/>
        <v>Sep</v>
      </c>
      <c r="D119" s="2" t="s">
        <v>311</v>
      </c>
      <c r="E119" s="2" t="s">
        <v>312</v>
      </c>
      <c r="F119" s="2">
        <v>8.8000000000000007</v>
      </c>
      <c r="G119" s="2">
        <v>467</v>
      </c>
      <c r="H119" s="2">
        <v>960</v>
      </c>
      <c r="I119" s="2">
        <v>282</v>
      </c>
      <c r="J119" s="2">
        <v>77</v>
      </c>
      <c r="K119" s="2">
        <v>0</v>
      </c>
      <c r="L119" s="2">
        <v>14</v>
      </c>
      <c r="M119" s="2" t="str">
        <f t="shared" si="6"/>
        <v>Unsafe</v>
      </c>
      <c r="N119" s="2" t="str">
        <f t="shared" si="7"/>
        <v>Unsafe</v>
      </c>
      <c r="O119" s="2" t="str">
        <f t="shared" si="8"/>
        <v>Safe</v>
      </c>
      <c r="P119" s="2" t="str">
        <f t="shared" si="9"/>
        <v>Contaminated</v>
      </c>
    </row>
    <row r="120" spans="1:16" x14ac:dyDescent="0.35">
      <c r="A120" s="2" t="s">
        <v>129</v>
      </c>
      <c r="B120" s="3">
        <v>44660</v>
      </c>
      <c r="C120" s="3" t="str">
        <f t="shared" si="5"/>
        <v>Apr</v>
      </c>
      <c r="D120" s="2" t="s">
        <v>316</v>
      </c>
      <c r="E120" s="2" t="s">
        <v>312</v>
      </c>
      <c r="F120" s="2">
        <v>7.2</v>
      </c>
      <c r="G120" s="2">
        <v>1598</v>
      </c>
      <c r="H120" s="2">
        <v>241</v>
      </c>
      <c r="I120" s="2">
        <v>127</v>
      </c>
      <c r="J120" s="2">
        <v>37</v>
      </c>
      <c r="K120" s="2">
        <v>7.0000000000000001E-3</v>
      </c>
      <c r="L120" s="2">
        <v>30</v>
      </c>
      <c r="M120" s="2" t="str">
        <f t="shared" si="6"/>
        <v>Safe</v>
      </c>
      <c r="N120" s="2" t="str">
        <f t="shared" si="7"/>
        <v>Safe</v>
      </c>
      <c r="O120" s="2" t="str">
        <f t="shared" si="8"/>
        <v>Safe</v>
      </c>
      <c r="P120" s="2" t="str">
        <f t="shared" si="9"/>
        <v>Safe</v>
      </c>
    </row>
    <row r="121" spans="1:16" x14ac:dyDescent="0.35">
      <c r="A121" s="2" t="s">
        <v>130</v>
      </c>
      <c r="B121" s="3">
        <v>44883</v>
      </c>
      <c r="C121" s="3" t="str">
        <f t="shared" si="5"/>
        <v>Nov</v>
      </c>
      <c r="D121" s="2" t="s">
        <v>317</v>
      </c>
      <c r="E121" s="2" t="s">
        <v>315</v>
      </c>
      <c r="F121" s="2">
        <v>7.6</v>
      </c>
      <c r="G121" s="2">
        <v>1262</v>
      </c>
      <c r="H121" s="2">
        <v>248</v>
      </c>
      <c r="I121" s="2">
        <v>261</v>
      </c>
      <c r="J121" s="2">
        <v>36</v>
      </c>
      <c r="K121" s="2">
        <v>1.7999999999999999E-2</v>
      </c>
      <c r="L121" s="2">
        <v>13</v>
      </c>
      <c r="M121" s="2" t="str">
        <f t="shared" si="6"/>
        <v>Safe</v>
      </c>
      <c r="N121" s="2" t="str">
        <f t="shared" si="7"/>
        <v>Safe</v>
      </c>
      <c r="O121" s="2" t="str">
        <f t="shared" si="8"/>
        <v>Unsafe</v>
      </c>
      <c r="P121" s="2" t="str">
        <f t="shared" si="9"/>
        <v>Contaminated</v>
      </c>
    </row>
    <row r="122" spans="1:16" x14ac:dyDescent="0.35">
      <c r="A122" s="2" t="s">
        <v>131</v>
      </c>
      <c r="B122" s="3">
        <v>44699</v>
      </c>
      <c r="C122" s="3" t="str">
        <f t="shared" si="5"/>
        <v>May</v>
      </c>
      <c r="D122" s="2" t="s">
        <v>313</v>
      </c>
      <c r="E122" s="2" t="s">
        <v>312</v>
      </c>
      <c r="F122" s="2">
        <v>9</v>
      </c>
      <c r="G122" s="2">
        <v>806</v>
      </c>
      <c r="H122" s="2">
        <v>663</v>
      </c>
      <c r="I122" s="2">
        <v>73</v>
      </c>
      <c r="J122" s="2">
        <v>46</v>
      </c>
      <c r="K122" s="2">
        <v>1E-3</v>
      </c>
      <c r="L122" s="2">
        <v>20</v>
      </c>
      <c r="M122" s="2" t="str">
        <f t="shared" si="6"/>
        <v>Unsafe</v>
      </c>
      <c r="N122" s="2" t="str">
        <f t="shared" si="7"/>
        <v>Safe</v>
      </c>
      <c r="O122" s="2" t="str">
        <f t="shared" si="8"/>
        <v>Safe</v>
      </c>
      <c r="P122" s="2" t="str">
        <f t="shared" si="9"/>
        <v>Contaminated</v>
      </c>
    </row>
    <row r="123" spans="1:16" x14ac:dyDescent="0.35">
      <c r="A123" s="2" t="s">
        <v>132</v>
      </c>
      <c r="B123" s="3">
        <v>44852</v>
      </c>
      <c r="C123" s="3" t="str">
        <f t="shared" si="5"/>
        <v>Oct</v>
      </c>
      <c r="D123" s="2" t="s">
        <v>311</v>
      </c>
      <c r="E123" s="2" t="s">
        <v>315</v>
      </c>
      <c r="F123" s="2">
        <v>7.5</v>
      </c>
      <c r="G123" s="2">
        <v>454</v>
      </c>
      <c r="H123" s="2">
        <v>609</v>
      </c>
      <c r="I123" s="2">
        <v>209</v>
      </c>
      <c r="J123" s="2">
        <v>62</v>
      </c>
      <c r="K123" s="2">
        <v>2E-3</v>
      </c>
      <c r="L123" s="2">
        <v>23</v>
      </c>
      <c r="M123" s="2" t="str">
        <f t="shared" si="6"/>
        <v>Safe</v>
      </c>
      <c r="N123" s="2" t="str">
        <f t="shared" si="7"/>
        <v>Unsafe</v>
      </c>
      <c r="O123" s="2" t="str">
        <f t="shared" si="8"/>
        <v>Safe</v>
      </c>
      <c r="P123" s="2" t="str">
        <f t="shared" si="9"/>
        <v>Contaminated</v>
      </c>
    </row>
    <row r="124" spans="1:16" x14ac:dyDescent="0.35">
      <c r="A124" s="2" t="s">
        <v>133</v>
      </c>
      <c r="B124" s="3">
        <v>44566</v>
      </c>
      <c r="C124" s="3" t="str">
        <f t="shared" si="5"/>
        <v>Jan</v>
      </c>
      <c r="D124" s="2" t="s">
        <v>314</v>
      </c>
      <c r="E124" s="2" t="s">
        <v>312</v>
      </c>
      <c r="F124" s="2">
        <v>6.2</v>
      </c>
      <c r="G124" s="2">
        <v>896</v>
      </c>
      <c r="H124" s="2">
        <v>1114</v>
      </c>
      <c r="I124" s="2">
        <v>190</v>
      </c>
      <c r="J124" s="2">
        <v>11</v>
      </c>
      <c r="K124" s="2">
        <v>0.02</v>
      </c>
      <c r="L124" s="2">
        <v>16</v>
      </c>
      <c r="M124" s="2" t="str">
        <f t="shared" si="6"/>
        <v>Unsafe</v>
      </c>
      <c r="N124" s="2" t="str">
        <f t="shared" si="7"/>
        <v>Safe</v>
      </c>
      <c r="O124" s="2" t="str">
        <f t="shared" si="8"/>
        <v>Unsafe</v>
      </c>
      <c r="P124" s="2" t="str">
        <f t="shared" si="9"/>
        <v>Contaminated</v>
      </c>
    </row>
    <row r="125" spans="1:16" x14ac:dyDescent="0.35">
      <c r="A125" s="2" t="s">
        <v>134</v>
      </c>
      <c r="B125" s="3">
        <v>44762</v>
      </c>
      <c r="C125" s="3" t="str">
        <f t="shared" si="5"/>
        <v>Jul</v>
      </c>
      <c r="D125" s="2" t="s">
        <v>313</v>
      </c>
      <c r="E125" s="2" t="s">
        <v>315</v>
      </c>
      <c r="F125" s="2">
        <v>8.6999999999999993</v>
      </c>
      <c r="G125" s="2">
        <v>1156</v>
      </c>
      <c r="H125" s="2">
        <v>426</v>
      </c>
      <c r="I125" s="2">
        <v>336</v>
      </c>
      <c r="J125" s="2">
        <v>73</v>
      </c>
      <c r="K125" s="2">
        <v>1.4E-2</v>
      </c>
      <c r="L125" s="2">
        <v>27</v>
      </c>
      <c r="M125" s="2" t="str">
        <f t="shared" si="6"/>
        <v>Unsafe</v>
      </c>
      <c r="N125" s="2" t="str">
        <f t="shared" si="7"/>
        <v>Unsafe</v>
      </c>
      <c r="O125" s="2" t="str">
        <f t="shared" si="8"/>
        <v>Unsafe</v>
      </c>
      <c r="P125" s="2" t="str">
        <f t="shared" si="9"/>
        <v>Contaminated</v>
      </c>
    </row>
    <row r="126" spans="1:16" x14ac:dyDescent="0.35">
      <c r="A126" s="2" t="s">
        <v>135</v>
      </c>
      <c r="B126" s="3">
        <v>44733</v>
      </c>
      <c r="C126" s="3" t="str">
        <f t="shared" si="5"/>
        <v>Jun</v>
      </c>
      <c r="D126" s="2" t="s">
        <v>314</v>
      </c>
      <c r="E126" s="2" t="s">
        <v>318</v>
      </c>
      <c r="F126" s="2">
        <v>6.4</v>
      </c>
      <c r="G126" s="2">
        <v>506</v>
      </c>
      <c r="H126" s="2">
        <v>272</v>
      </c>
      <c r="I126" s="2">
        <v>161</v>
      </c>
      <c r="J126" s="2">
        <v>57</v>
      </c>
      <c r="K126" s="2">
        <v>0</v>
      </c>
      <c r="L126" s="2">
        <v>34</v>
      </c>
      <c r="M126" s="2" t="str">
        <f t="shared" si="6"/>
        <v>Unsafe</v>
      </c>
      <c r="N126" s="2" t="str">
        <f t="shared" si="7"/>
        <v>Unsafe</v>
      </c>
      <c r="O126" s="2" t="str">
        <f t="shared" si="8"/>
        <v>Safe</v>
      </c>
      <c r="P126" s="2" t="str">
        <f t="shared" si="9"/>
        <v>Contaminated</v>
      </c>
    </row>
    <row r="127" spans="1:16" x14ac:dyDescent="0.35">
      <c r="A127" s="2" t="s">
        <v>136</v>
      </c>
      <c r="B127" s="3">
        <v>44724</v>
      </c>
      <c r="C127" s="3" t="str">
        <f t="shared" si="5"/>
        <v>Jun</v>
      </c>
      <c r="D127" s="2" t="s">
        <v>313</v>
      </c>
      <c r="E127" s="2" t="s">
        <v>312</v>
      </c>
      <c r="F127" s="2">
        <v>8.1</v>
      </c>
      <c r="G127" s="2">
        <v>1587</v>
      </c>
      <c r="H127" s="2">
        <v>206</v>
      </c>
      <c r="I127" s="2">
        <v>277</v>
      </c>
      <c r="J127" s="2">
        <v>56</v>
      </c>
      <c r="K127" s="2">
        <v>7.0000000000000001E-3</v>
      </c>
      <c r="L127" s="2">
        <v>19</v>
      </c>
      <c r="M127" s="2" t="str">
        <f t="shared" si="6"/>
        <v>Safe</v>
      </c>
      <c r="N127" s="2" t="str">
        <f t="shared" si="7"/>
        <v>Unsafe</v>
      </c>
      <c r="O127" s="2" t="str">
        <f t="shared" si="8"/>
        <v>Safe</v>
      </c>
      <c r="P127" s="2" t="str">
        <f t="shared" si="9"/>
        <v>Contaminated</v>
      </c>
    </row>
    <row r="128" spans="1:16" x14ac:dyDescent="0.35">
      <c r="A128" s="2" t="s">
        <v>137</v>
      </c>
      <c r="B128" s="3">
        <v>44624</v>
      </c>
      <c r="C128" s="3" t="str">
        <f t="shared" si="5"/>
        <v>Mar</v>
      </c>
      <c r="D128" s="2" t="s">
        <v>316</v>
      </c>
      <c r="E128" s="2" t="s">
        <v>312</v>
      </c>
      <c r="F128" s="2">
        <v>8.9</v>
      </c>
      <c r="G128" s="2">
        <v>1713</v>
      </c>
      <c r="H128" s="2">
        <v>136</v>
      </c>
      <c r="I128" s="2">
        <v>276</v>
      </c>
      <c r="J128" s="2">
        <v>38</v>
      </c>
      <c r="K128" s="2">
        <v>5.0000000000000001E-3</v>
      </c>
      <c r="L128" s="2">
        <v>10</v>
      </c>
      <c r="M128" s="2" t="str">
        <f t="shared" si="6"/>
        <v>Unsafe</v>
      </c>
      <c r="N128" s="2" t="str">
        <f t="shared" si="7"/>
        <v>Safe</v>
      </c>
      <c r="O128" s="2" t="str">
        <f t="shared" si="8"/>
        <v>Safe</v>
      </c>
      <c r="P128" s="2" t="str">
        <f t="shared" si="9"/>
        <v>Contaminated</v>
      </c>
    </row>
    <row r="129" spans="1:16" x14ac:dyDescent="0.35">
      <c r="A129" s="2" t="s">
        <v>138</v>
      </c>
      <c r="B129" s="3">
        <v>44603</v>
      </c>
      <c r="C129" s="3" t="str">
        <f t="shared" si="5"/>
        <v>Feb</v>
      </c>
      <c r="D129" s="2" t="s">
        <v>311</v>
      </c>
      <c r="E129" s="2" t="s">
        <v>312</v>
      </c>
      <c r="F129" s="2">
        <v>6.8</v>
      </c>
      <c r="G129" s="2">
        <v>855</v>
      </c>
      <c r="H129" s="2">
        <v>345</v>
      </c>
      <c r="I129" s="2">
        <v>234</v>
      </c>
      <c r="J129" s="2">
        <v>69</v>
      </c>
      <c r="K129" s="2">
        <v>2E-3</v>
      </c>
      <c r="L129" s="2">
        <v>27</v>
      </c>
      <c r="M129" s="2" t="str">
        <f t="shared" si="6"/>
        <v>Safe</v>
      </c>
      <c r="N129" s="2" t="str">
        <f t="shared" si="7"/>
        <v>Unsafe</v>
      </c>
      <c r="O129" s="2" t="str">
        <f t="shared" si="8"/>
        <v>Safe</v>
      </c>
      <c r="P129" s="2" t="str">
        <f t="shared" si="9"/>
        <v>Contaminated</v>
      </c>
    </row>
    <row r="130" spans="1:16" x14ac:dyDescent="0.35">
      <c r="A130" s="2" t="s">
        <v>139</v>
      </c>
      <c r="B130" s="3">
        <v>44673</v>
      </c>
      <c r="C130" s="3" t="str">
        <f t="shared" si="5"/>
        <v>Apr</v>
      </c>
      <c r="D130" s="2" t="s">
        <v>317</v>
      </c>
      <c r="E130" s="2" t="s">
        <v>315</v>
      </c>
      <c r="F130" s="2">
        <v>8.3000000000000007</v>
      </c>
      <c r="G130" s="2">
        <v>1337</v>
      </c>
      <c r="H130" s="2">
        <v>1189</v>
      </c>
      <c r="I130" s="2">
        <v>204</v>
      </c>
      <c r="J130" s="2">
        <v>79</v>
      </c>
      <c r="K130" s="2">
        <v>1.4999999999999999E-2</v>
      </c>
      <c r="L130" s="2">
        <v>30</v>
      </c>
      <c r="M130" s="2" t="str">
        <f t="shared" si="6"/>
        <v>Safe</v>
      </c>
      <c r="N130" s="2" t="str">
        <f t="shared" si="7"/>
        <v>Unsafe</v>
      </c>
      <c r="O130" s="2" t="str">
        <f t="shared" si="8"/>
        <v>Unsafe</v>
      </c>
      <c r="P130" s="2" t="str">
        <f t="shared" si="9"/>
        <v>Contaminated</v>
      </c>
    </row>
    <row r="131" spans="1:16" x14ac:dyDescent="0.35">
      <c r="A131" s="2" t="s">
        <v>140</v>
      </c>
      <c r="B131" s="3">
        <v>44857</v>
      </c>
      <c r="C131" s="3" t="str">
        <f t="shared" ref="C131:C194" si="10">TEXT(B131,"mmm")</f>
        <v>Oct</v>
      </c>
      <c r="D131" s="2" t="s">
        <v>316</v>
      </c>
      <c r="E131" s="2" t="s">
        <v>312</v>
      </c>
      <c r="F131" s="2">
        <v>7.6</v>
      </c>
      <c r="G131" s="2">
        <v>1680</v>
      </c>
      <c r="H131" s="2">
        <v>379</v>
      </c>
      <c r="I131" s="2">
        <v>93</v>
      </c>
      <c r="J131" s="2">
        <v>74</v>
      </c>
      <c r="K131" s="2">
        <v>1E-3</v>
      </c>
      <c r="L131" s="2">
        <v>17</v>
      </c>
      <c r="M131" s="2" t="str">
        <f t="shared" ref="M131:M194" si="11">IF(OR(F131&lt;6.5,F131&gt;8.5),"Unsafe","Safe")</f>
        <v>Safe</v>
      </c>
      <c r="N131" s="2" t="str">
        <f t="shared" ref="N131:N194" si="12">IF(J131&gt;50,"Unsafe","Safe")</f>
        <v>Unsafe</v>
      </c>
      <c r="O131" s="2" t="str">
        <f t="shared" ref="O131:O194" si="13">IF(K131&gt;0.01,"Unsafe","Safe")</f>
        <v>Safe</v>
      </c>
      <c r="P131" s="2" t="str">
        <f t="shared" ref="P131:P194" si="14">IF(OR(M131="Unsafe",N131="Unsafe",O131="Unsafe"),"Contaminated","Safe")</f>
        <v>Contaminated</v>
      </c>
    </row>
    <row r="132" spans="1:16" x14ac:dyDescent="0.35">
      <c r="A132" s="2" t="s">
        <v>141</v>
      </c>
      <c r="B132" s="3">
        <v>44727</v>
      </c>
      <c r="C132" s="3" t="str">
        <f t="shared" si="10"/>
        <v>Jun</v>
      </c>
      <c r="D132" s="2" t="s">
        <v>316</v>
      </c>
      <c r="E132" s="2" t="s">
        <v>318</v>
      </c>
      <c r="F132" s="2">
        <v>7</v>
      </c>
      <c r="G132" s="2">
        <v>301</v>
      </c>
      <c r="H132" s="2">
        <v>1198</v>
      </c>
      <c r="I132" s="2">
        <v>187</v>
      </c>
      <c r="J132" s="2">
        <v>41</v>
      </c>
      <c r="K132" s="2">
        <v>0.01</v>
      </c>
      <c r="L132" s="2">
        <v>17</v>
      </c>
      <c r="M132" s="2" t="str">
        <f t="shared" si="11"/>
        <v>Safe</v>
      </c>
      <c r="N132" s="2" t="str">
        <f t="shared" si="12"/>
        <v>Safe</v>
      </c>
      <c r="O132" s="2" t="str">
        <f t="shared" si="13"/>
        <v>Safe</v>
      </c>
      <c r="P132" s="2" t="str">
        <f t="shared" si="14"/>
        <v>Safe</v>
      </c>
    </row>
    <row r="133" spans="1:16" x14ac:dyDescent="0.35">
      <c r="A133" s="2" t="s">
        <v>142</v>
      </c>
      <c r="B133" s="3">
        <v>44734</v>
      </c>
      <c r="C133" s="3" t="str">
        <f t="shared" si="10"/>
        <v>Jun</v>
      </c>
      <c r="D133" s="2" t="s">
        <v>317</v>
      </c>
      <c r="E133" s="2" t="s">
        <v>318</v>
      </c>
      <c r="F133" s="2">
        <v>9</v>
      </c>
      <c r="G133" s="2">
        <v>674</v>
      </c>
      <c r="H133" s="2">
        <v>500</v>
      </c>
      <c r="I133" s="2">
        <v>326</v>
      </c>
      <c r="J133" s="2">
        <v>17</v>
      </c>
      <c r="K133" s="2">
        <v>0.02</v>
      </c>
      <c r="L133" s="2">
        <v>27</v>
      </c>
      <c r="M133" s="2" t="str">
        <f t="shared" si="11"/>
        <v>Unsafe</v>
      </c>
      <c r="N133" s="2" t="str">
        <f t="shared" si="12"/>
        <v>Safe</v>
      </c>
      <c r="O133" s="2" t="str">
        <f t="shared" si="13"/>
        <v>Unsafe</v>
      </c>
      <c r="P133" s="2" t="str">
        <f t="shared" si="14"/>
        <v>Contaminated</v>
      </c>
    </row>
    <row r="134" spans="1:16" x14ac:dyDescent="0.35">
      <c r="A134" s="2" t="s">
        <v>143</v>
      </c>
      <c r="B134" s="3">
        <v>44738</v>
      </c>
      <c r="C134" s="3" t="str">
        <f t="shared" si="10"/>
        <v>Jun</v>
      </c>
      <c r="D134" s="2" t="s">
        <v>313</v>
      </c>
      <c r="E134" s="2" t="s">
        <v>312</v>
      </c>
      <c r="F134" s="2">
        <v>6.2</v>
      </c>
      <c r="G134" s="2">
        <v>1769</v>
      </c>
      <c r="H134" s="2">
        <v>1140</v>
      </c>
      <c r="I134" s="2">
        <v>160</v>
      </c>
      <c r="J134" s="2">
        <v>10</v>
      </c>
      <c r="K134" s="2">
        <v>7.0000000000000001E-3</v>
      </c>
      <c r="L134" s="2">
        <v>30</v>
      </c>
      <c r="M134" s="2" t="str">
        <f t="shared" si="11"/>
        <v>Unsafe</v>
      </c>
      <c r="N134" s="2" t="str">
        <f t="shared" si="12"/>
        <v>Safe</v>
      </c>
      <c r="O134" s="2" t="str">
        <f t="shared" si="13"/>
        <v>Safe</v>
      </c>
      <c r="P134" s="2" t="str">
        <f t="shared" si="14"/>
        <v>Contaminated</v>
      </c>
    </row>
    <row r="135" spans="1:16" x14ac:dyDescent="0.35">
      <c r="A135" s="2" t="s">
        <v>144</v>
      </c>
      <c r="B135" s="3">
        <v>44848</v>
      </c>
      <c r="C135" s="3" t="str">
        <f t="shared" si="10"/>
        <v>Oct</v>
      </c>
      <c r="D135" s="2" t="s">
        <v>314</v>
      </c>
      <c r="E135" s="2" t="s">
        <v>318</v>
      </c>
      <c r="F135" s="2">
        <v>7.4</v>
      </c>
      <c r="G135" s="2">
        <v>1534</v>
      </c>
      <c r="H135" s="2">
        <v>429</v>
      </c>
      <c r="I135" s="2">
        <v>371</v>
      </c>
      <c r="J135" s="2">
        <v>67</v>
      </c>
      <c r="K135" s="2">
        <v>1.9E-2</v>
      </c>
      <c r="L135" s="2">
        <v>29</v>
      </c>
      <c r="M135" s="2" t="str">
        <f t="shared" si="11"/>
        <v>Safe</v>
      </c>
      <c r="N135" s="2" t="str">
        <f t="shared" si="12"/>
        <v>Unsafe</v>
      </c>
      <c r="O135" s="2" t="str">
        <f t="shared" si="13"/>
        <v>Unsafe</v>
      </c>
      <c r="P135" s="2" t="str">
        <f t="shared" si="14"/>
        <v>Contaminated</v>
      </c>
    </row>
    <row r="136" spans="1:16" x14ac:dyDescent="0.35">
      <c r="A136" s="2" t="s">
        <v>145</v>
      </c>
      <c r="B136" s="3">
        <v>44620</v>
      </c>
      <c r="C136" s="3" t="str">
        <f t="shared" si="10"/>
        <v>Feb</v>
      </c>
      <c r="D136" s="2" t="s">
        <v>313</v>
      </c>
      <c r="E136" s="2" t="s">
        <v>312</v>
      </c>
      <c r="F136" s="2">
        <v>6.8</v>
      </c>
      <c r="G136" s="2">
        <v>817</v>
      </c>
      <c r="H136" s="2">
        <v>453</v>
      </c>
      <c r="I136" s="2">
        <v>384</v>
      </c>
      <c r="J136" s="2">
        <v>69</v>
      </c>
      <c r="K136" s="2">
        <v>3.0000000000000001E-3</v>
      </c>
      <c r="L136" s="2">
        <v>25</v>
      </c>
      <c r="M136" s="2" t="str">
        <f t="shared" si="11"/>
        <v>Safe</v>
      </c>
      <c r="N136" s="2" t="str">
        <f t="shared" si="12"/>
        <v>Unsafe</v>
      </c>
      <c r="O136" s="2" t="str">
        <f t="shared" si="13"/>
        <v>Safe</v>
      </c>
      <c r="P136" s="2" t="str">
        <f t="shared" si="14"/>
        <v>Contaminated</v>
      </c>
    </row>
    <row r="137" spans="1:16" x14ac:dyDescent="0.35">
      <c r="A137" s="2" t="s">
        <v>146</v>
      </c>
      <c r="B137" s="3">
        <v>44744</v>
      </c>
      <c r="C137" s="3" t="str">
        <f t="shared" si="10"/>
        <v>Jul</v>
      </c>
      <c r="D137" s="2" t="s">
        <v>317</v>
      </c>
      <c r="E137" s="2" t="s">
        <v>315</v>
      </c>
      <c r="F137" s="2">
        <v>7.6</v>
      </c>
      <c r="G137" s="2">
        <v>1368</v>
      </c>
      <c r="H137" s="2">
        <v>598</v>
      </c>
      <c r="I137" s="2">
        <v>231</v>
      </c>
      <c r="J137" s="2">
        <v>0</v>
      </c>
      <c r="K137" s="2">
        <v>8.9999999999999993E-3</v>
      </c>
      <c r="L137" s="2">
        <v>16</v>
      </c>
      <c r="M137" s="2" t="str">
        <f t="shared" si="11"/>
        <v>Safe</v>
      </c>
      <c r="N137" s="2" t="str">
        <f t="shared" si="12"/>
        <v>Safe</v>
      </c>
      <c r="O137" s="2" t="str">
        <f t="shared" si="13"/>
        <v>Safe</v>
      </c>
      <c r="P137" s="2" t="str">
        <f t="shared" si="14"/>
        <v>Safe</v>
      </c>
    </row>
    <row r="138" spans="1:16" x14ac:dyDescent="0.35">
      <c r="A138" s="2" t="s">
        <v>147</v>
      </c>
      <c r="B138" s="3">
        <v>44648</v>
      </c>
      <c r="C138" s="3" t="str">
        <f t="shared" si="10"/>
        <v>Mar</v>
      </c>
      <c r="D138" s="2" t="s">
        <v>313</v>
      </c>
      <c r="E138" s="2" t="s">
        <v>315</v>
      </c>
      <c r="F138" s="2">
        <v>7.9</v>
      </c>
      <c r="G138" s="2">
        <v>1001</v>
      </c>
      <c r="H138" s="2">
        <v>135</v>
      </c>
      <c r="I138" s="2">
        <v>80</v>
      </c>
      <c r="J138" s="2">
        <v>17</v>
      </c>
      <c r="K138" s="2">
        <v>8.9999999999999993E-3</v>
      </c>
      <c r="L138" s="2">
        <v>20</v>
      </c>
      <c r="M138" s="2" t="str">
        <f t="shared" si="11"/>
        <v>Safe</v>
      </c>
      <c r="N138" s="2" t="str">
        <f t="shared" si="12"/>
        <v>Safe</v>
      </c>
      <c r="O138" s="2" t="str">
        <f t="shared" si="13"/>
        <v>Safe</v>
      </c>
      <c r="P138" s="2" t="str">
        <f t="shared" si="14"/>
        <v>Safe</v>
      </c>
    </row>
    <row r="139" spans="1:16" x14ac:dyDescent="0.35">
      <c r="A139" s="2" t="s">
        <v>148</v>
      </c>
      <c r="B139" s="3">
        <v>44790</v>
      </c>
      <c r="C139" s="3" t="str">
        <f t="shared" si="10"/>
        <v>Aug</v>
      </c>
      <c r="D139" s="2" t="s">
        <v>313</v>
      </c>
      <c r="E139" s="2" t="s">
        <v>318</v>
      </c>
      <c r="F139" s="2">
        <v>8.3000000000000007</v>
      </c>
      <c r="G139" s="2">
        <v>1472</v>
      </c>
      <c r="H139" s="2">
        <v>652</v>
      </c>
      <c r="I139" s="2">
        <v>262</v>
      </c>
      <c r="J139" s="2">
        <v>60</v>
      </c>
      <c r="K139" s="2">
        <v>8.0000000000000002E-3</v>
      </c>
      <c r="L139" s="2">
        <v>31</v>
      </c>
      <c r="M139" s="2" t="str">
        <f t="shared" si="11"/>
        <v>Safe</v>
      </c>
      <c r="N139" s="2" t="str">
        <f t="shared" si="12"/>
        <v>Unsafe</v>
      </c>
      <c r="O139" s="2" t="str">
        <f t="shared" si="13"/>
        <v>Safe</v>
      </c>
      <c r="P139" s="2" t="str">
        <f t="shared" si="14"/>
        <v>Contaminated</v>
      </c>
    </row>
    <row r="140" spans="1:16" x14ac:dyDescent="0.35">
      <c r="A140" s="2" t="s">
        <v>149</v>
      </c>
      <c r="B140" s="3">
        <v>44616</v>
      </c>
      <c r="C140" s="3" t="str">
        <f t="shared" si="10"/>
        <v>Feb</v>
      </c>
      <c r="D140" s="2" t="s">
        <v>314</v>
      </c>
      <c r="E140" s="2" t="s">
        <v>315</v>
      </c>
      <c r="F140" s="2">
        <v>6.5</v>
      </c>
      <c r="G140" s="2">
        <v>677</v>
      </c>
      <c r="H140" s="2">
        <v>202</v>
      </c>
      <c r="I140" s="2">
        <v>83</v>
      </c>
      <c r="J140" s="2">
        <v>32</v>
      </c>
      <c r="K140" s="2">
        <v>1.2E-2</v>
      </c>
      <c r="L140" s="2">
        <v>29</v>
      </c>
      <c r="M140" s="2" t="str">
        <f t="shared" si="11"/>
        <v>Safe</v>
      </c>
      <c r="N140" s="2" t="str">
        <f t="shared" si="12"/>
        <v>Safe</v>
      </c>
      <c r="O140" s="2" t="str">
        <f t="shared" si="13"/>
        <v>Unsafe</v>
      </c>
      <c r="P140" s="2" t="str">
        <f t="shared" si="14"/>
        <v>Contaminated</v>
      </c>
    </row>
    <row r="141" spans="1:16" x14ac:dyDescent="0.35">
      <c r="A141" s="2" t="s">
        <v>150</v>
      </c>
      <c r="B141" s="3">
        <v>44720</v>
      </c>
      <c r="C141" s="3" t="str">
        <f t="shared" si="10"/>
        <v>Jun</v>
      </c>
      <c r="D141" s="2" t="s">
        <v>314</v>
      </c>
      <c r="E141" s="2" t="s">
        <v>318</v>
      </c>
      <c r="F141" s="2">
        <v>7.2</v>
      </c>
      <c r="G141" s="2">
        <v>998</v>
      </c>
      <c r="H141" s="2">
        <v>545</v>
      </c>
      <c r="I141" s="2">
        <v>390</v>
      </c>
      <c r="J141" s="2">
        <v>28</v>
      </c>
      <c r="K141" s="2">
        <v>1.2E-2</v>
      </c>
      <c r="L141" s="2">
        <v>33</v>
      </c>
      <c r="M141" s="2" t="str">
        <f t="shared" si="11"/>
        <v>Safe</v>
      </c>
      <c r="N141" s="2" t="str">
        <f t="shared" si="12"/>
        <v>Safe</v>
      </c>
      <c r="O141" s="2" t="str">
        <f t="shared" si="13"/>
        <v>Unsafe</v>
      </c>
      <c r="P141" s="2" t="str">
        <f t="shared" si="14"/>
        <v>Contaminated</v>
      </c>
    </row>
    <row r="142" spans="1:16" x14ac:dyDescent="0.35">
      <c r="A142" s="2" t="s">
        <v>151</v>
      </c>
      <c r="B142" s="3">
        <v>44824</v>
      </c>
      <c r="C142" s="3" t="str">
        <f t="shared" si="10"/>
        <v>Sep</v>
      </c>
      <c r="D142" s="2" t="s">
        <v>313</v>
      </c>
      <c r="E142" s="2" t="s">
        <v>312</v>
      </c>
      <c r="F142" s="2">
        <v>6.2</v>
      </c>
      <c r="G142" s="2">
        <v>1092</v>
      </c>
      <c r="H142" s="2">
        <v>999</v>
      </c>
      <c r="I142" s="2">
        <v>332</v>
      </c>
      <c r="J142" s="2">
        <v>64</v>
      </c>
      <c r="K142" s="2">
        <v>1.4E-2</v>
      </c>
      <c r="L142" s="2">
        <v>24</v>
      </c>
      <c r="M142" s="2" t="str">
        <f t="shared" si="11"/>
        <v>Unsafe</v>
      </c>
      <c r="N142" s="2" t="str">
        <f t="shared" si="12"/>
        <v>Unsafe</v>
      </c>
      <c r="O142" s="2" t="str">
        <f t="shared" si="13"/>
        <v>Unsafe</v>
      </c>
      <c r="P142" s="2" t="str">
        <f t="shared" si="14"/>
        <v>Contaminated</v>
      </c>
    </row>
    <row r="143" spans="1:16" x14ac:dyDescent="0.35">
      <c r="A143" s="2" t="s">
        <v>152</v>
      </c>
      <c r="B143" s="3">
        <v>44695</v>
      </c>
      <c r="C143" s="3" t="str">
        <f t="shared" si="10"/>
        <v>May</v>
      </c>
      <c r="D143" s="2" t="s">
        <v>313</v>
      </c>
      <c r="E143" s="2" t="s">
        <v>315</v>
      </c>
      <c r="F143" s="2">
        <v>7.7</v>
      </c>
      <c r="G143" s="2">
        <v>1528</v>
      </c>
      <c r="H143" s="2">
        <v>667</v>
      </c>
      <c r="I143" s="2">
        <v>90</v>
      </c>
      <c r="J143" s="2">
        <v>14</v>
      </c>
      <c r="K143" s="2">
        <v>7.0000000000000001E-3</v>
      </c>
      <c r="L143" s="2">
        <v>17</v>
      </c>
      <c r="M143" s="2" t="str">
        <f t="shared" si="11"/>
        <v>Safe</v>
      </c>
      <c r="N143" s="2" t="str">
        <f t="shared" si="12"/>
        <v>Safe</v>
      </c>
      <c r="O143" s="2" t="str">
        <f t="shared" si="13"/>
        <v>Safe</v>
      </c>
      <c r="P143" s="2" t="str">
        <f t="shared" si="14"/>
        <v>Safe</v>
      </c>
    </row>
    <row r="144" spans="1:16" x14ac:dyDescent="0.35">
      <c r="A144" s="2" t="s">
        <v>153</v>
      </c>
      <c r="B144" s="3">
        <v>44574</v>
      </c>
      <c r="C144" s="3" t="str">
        <f t="shared" si="10"/>
        <v>Jan</v>
      </c>
      <c r="D144" s="2" t="s">
        <v>317</v>
      </c>
      <c r="E144" s="2" t="s">
        <v>312</v>
      </c>
      <c r="F144" s="2">
        <v>6.3</v>
      </c>
      <c r="G144" s="2">
        <v>220</v>
      </c>
      <c r="H144" s="2">
        <v>1161</v>
      </c>
      <c r="I144" s="2">
        <v>144</v>
      </c>
      <c r="J144" s="2">
        <v>64</v>
      </c>
      <c r="K144" s="2">
        <v>3.0000000000000001E-3</v>
      </c>
      <c r="L144" s="2">
        <v>15</v>
      </c>
      <c r="M144" s="2" t="str">
        <f t="shared" si="11"/>
        <v>Unsafe</v>
      </c>
      <c r="N144" s="2" t="str">
        <f t="shared" si="12"/>
        <v>Unsafe</v>
      </c>
      <c r="O144" s="2" t="str">
        <f t="shared" si="13"/>
        <v>Safe</v>
      </c>
      <c r="P144" s="2" t="str">
        <f t="shared" si="14"/>
        <v>Contaminated</v>
      </c>
    </row>
    <row r="145" spans="1:16" x14ac:dyDescent="0.35">
      <c r="A145" s="2" t="s">
        <v>154</v>
      </c>
      <c r="B145" s="3">
        <v>44563</v>
      </c>
      <c r="C145" s="3" t="str">
        <f t="shared" si="10"/>
        <v>Jan</v>
      </c>
      <c r="D145" s="2" t="s">
        <v>316</v>
      </c>
      <c r="E145" s="2" t="s">
        <v>312</v>
      </c>
      <c r="F145" s="2">
        <v>8.6</v>
      </c>
      <c r="G145" s="2">
        <v>1737</v>
      </c>
      <c r="H145" s="2">
        <v>165</v>
      </c>
      <c r="I145" s="2">
        <v>184</v>
      </c>
      <c r="J145" s="2">
        <v>24</v>
      </c>
      <c r="K145" s="2">
        <v>1.7999999999999999E-2</v>
      </c>
      <c r="L145" s="2">
        <v>28</v>
      </c>
      <c r="M145" s="2" t="str">
        <f t="shared" si="11"/>
        <v>Unsafe</v>
      </c>
      <c r="N145" s="2" t="str">
        <f t="shared" si="12"/>
        <v>Safe</v>
      </c>
      <c r="O145" s="2" t="str">
        <f t="shared" si="13"/>
        <v>Unsafe</v>
      </c>
      <c r="P145" s="2" t="str">
        <f t="shared" si="14"/>
        <v>Contaminated</v>
      </c>
    </row>
    <row r="146" spans="1:16" x14ac:dyDescent="0.35">
      <c r="A146" s="2" t="s">
        <v>155</v>
      </c>
      <c r="B146" s="3">
        <v>44734</v>
      </c>
      <c r="C146" s="3" t="str">
        <f t="shared" si="10"/>
        <v>Jun</v>
      </c>
      <c r="D146" s="2" t="s">
        <v>314</v>
      </c>
      <c r="E146" s="2" t="s">
        <v>318</v>
      </c>
      <c r="F146" s="2">
        <v>6.3</v>
      </c>
      <c r="G146" s="2">
        <v>1067</v>
      </c>
      <c r="H146" s="2">
        <v>1072</v>
      </c>
      <c r="I146" s="2">
        <v>327</v>
      </c>
      <c r="J146" s="2">
        <v>42</v>
      </c>
      <c r="K146" s="2">
        <v>6.0000000000000001E-3</v>
      </c>
      <c r="L146" s="2">
        <v>19</v>
      </c>
      <c r="M146" s="2" t="str">
        <f t="shared" si="11"/>
        <v>Unsafe</v>
      </c>
      <c r="N146" s="2" t="str">
        <f t="shared" si="12"/>
        <v>Safe</v>
      </c>
      <c r="O146" s="2" t="str">
        <f t="shared" si="13"/>
        <v>Safe</v>
      </c>
      <c r="P146" s="2" t="str">
        <f t="shared" si="14"/>
        <v>Contaminated</v>
      </c>
    </row>
    <row r="147" spans="1:16" x14ac:dyDescent="0.35">
      <c r="A147" s="2" t="s">
        <v>156</v>
      </c>
      <c r="B147" s="3">
        <v>44635</v>
      </c>
      <c r="C147" s="3" t="str">
        <f t="shared" si="10"/>
        <v>Mar</v>
      </c>
      <c r="D147" s="2" t="s">
        <v>311</v>
      </c>
      <c r="E147" s="2" t="s">
        <v>315</v>
      </c>
      <c r="F147" s="2">
        <v>9</v>
      </c>
      <c r="G147" s="2">
        <v>934</v>
      </c>
      <c r="H147" s="2">
        <v>1010</v>
      </c>
      <c r="I147" s="2">
        <v>303</v>
      </c>
      <c r="J147" s="2">
        <v>24</v>
      </c>
      <c r="K147" s="2">
        <v>1.9E-2</v>
      </c>
      <c r="L147" s="2">
        <v>11</v>
      </c>
      <c r="M147" s="2" t="str">
        <f t="shared" si="11"/>
        <v>Unsafe</v>
      </c>
      <c r="N147" s="2" t="str">
        <f t="shared" si="12"/>
        <v>Safe</v>
      </c>
      <c r="O147" s="2" t="str">
        <f t="shared" si="13"/>
        <v>Unsafe</v>
      </c>
      <c r="P147" s="2" t="str">
        <f t="shared" si="14"/>
        <v>Contaminated</v>
      </c>
    </row>
    <row r="148" spans="1:16" x14ac:dyDescent="0.35">
      <c r="A148" s="2" t="s">
        <v>157</v>
      </c>
      <c r="B148" s="3">
        <v>44636</v>
      </c>
      <c r="C148" s="3" t="str">
        <f t="shared" si="10"/>
        <v>Mar</v>
      </c>
      <c r="D148" s="2" t="s">
        <v>316</v>
      </c>
      <c r="E148" s="2" t="s">
        <v>315</v>
      </c>
      <c r="F148" s="2">
        <v>6.9</v>
      </c>
      <c r="G148" s="2">
        <v>533</v>
      </c>
      <c r="H148" s="2">
        <v>1192</v>
      </c>
      <c r="I148" s="2">
        <v>145</v>
      </c>
      <c r="J148" s="2">
        <v>46</v>
      </c>
      <c r="K148" s="2">
        <v>1.6E-2</v>
      </c>
      <c r="L148" s="2">
        <v>21</v>
      </c>
      <c r="M148" s="2" t="str">
        <f t="shared" si="11"/>
        <v>Safe</v>
      </c>
      <c r="N148" s="2" t="str">
        <f t="shared" si="12"/>
        <v>Safe</v>
      </c>
      <c r="O148" s="2" t="str">
        <f t="shared" si="13"/>
        <v>Unsafe</v>
      </c>
      <c r="P148" s="2" t="str">
        <f t="shared" si="14"/>
        <v>Contaminated</v>
      </c>
    </row>
    <row r="149" spans="1:16" x14ac:dyDescent="0.35">
      <c r="A149" s="2" t="s">
        <v>158</v>
      </c>
      <c r="B149" s="3">
        <v>44605</v>
      </c>
      <c r="C149" s="3" t="str">
        <f t="shared" si="10"/>
        <v>Feb</v>
      </c>
      <c r="D149" s="2" t="s">
        <v>311</v>
      </c>
      <c r="E149" s="2" t="s">
        <v>318</v>
      </c>
      <c r="F149" s="2">
        <v>8.1999999999999993</v>
      </c>
      <c r="G149" s="2">
        <v>1126</v>
      </c>
      <c r="H149" s="2">
        <v>537</v>
      </c>
      <c r="I149" s="2">
        <v>152</v>
      </c>
      <c r="J149" s="2">
        <v>51</v>
      </c>
      <c r="K149" s="2">
        <v>1.4999999999999999E-2</v>
      </c>
      <c r="L149" s="2">
        <v>12</v>
      </c>
      <c r="M149" s="2" t="str">
        <f t="shared" si="11"/>
        <v>Safe</v>
      </c>
      <c r="N149" s="2" t="str">
        <f t="shared" si="12"/>
        <v>Unsafe</v>
      </c>
      <c r="O149" s="2" t="str">
        <f t="shared" si="13"/>
        <v>Unsafe</v>
      </c>
      <c r="P149" s="2" t="str">
        <f t="shared" si="14"/>
        <v>Contaminated</v>
      </c>
    </row>
    <row r="150" spans="1:16" x14ac:dyDescent="0.35">
      <c r="A150" s="2" t="s">
        <v>159</v>
      </c>
      <c r="B150" s="3">
        <v>44689</v>
      </c>
      <c r="C150" s="3" t="str">
        <f t="shared" si="10"/>
        <v>May</v>
      </c>
      <c r="D150" s="2" t="s">
        <v>314</v>
      </c>
      <c r="E150" s="2" t="s">
        <v>312</v>
      </c>
      <c r="F150" s="2">
        <v>7.4</v>
      </c>
      <c r="G150" s="2">
        <v>435</v>
      </c>
      <c r="H150" s="2">
        <v>1022</v>
      </c>
      <c r="I150" s="2">
        <v>180</v>
      </c>
      <c r="J150" s="2">
        <v>29</v>
      </c>
      <c r="K150" s="2">
        <v>6.0000000000000001E-3</v>
      </c>
      <c r="L150" s="2">
        <v>17</v>
      </c>
      <c r="M150" s="2" t="str">
        <f t="shared" si="11"/>
        <v>Safe</v>
      </c>
      <c r="N150" s="2" t="str">
        <f t="shared" si="12"/>
        <v>Safe</v>
      </c>
      <c r="O150" s="2" t="str">
        <f t="shared" si="13"/>
        <v>Safe</v>
      </c>
      <c r="P150" s="2" t="str">
        <f t="shared" si="14"/>
        <v>Safe</v>
      </c>
    </row>
    <row r="151" spans="1:16" x14ac:dyDescent="0.35">
      <c r="A151" s="2" t="s">
        <v>160</v>
      </c>
      <c r="B151" s="3">
        <v>44634</v>
      </c>
      <c r="C151" s="3" t="str">
        <f t="shared" si="10"/>
        <v>Mar</v>
      </c>
      <c r="D151" s="2" t="s">
        <v>313</v>
      </c>
      <c r="E151" s="2" t="s">
        <v>312</v>
      </c>
      <c r="F151" s="2">
        <v>8.1</v>
      </c>
      <c r="G151" s="2">
        <v>876</v>
      </c>
      <c r="H151" s="2">
        <v>742</v>
      </c>
      <c r="I151" s="2">
        <v>108</v>
      </c>
      <c r="J151" s="2">
        <v>43</v>
      </c>
      <c r="K151" s="2">
        <v>0</v>
      </c>
      <c r="L151" s="2">
        <v>35</v>
      </c>
      <c r="M151" s="2" t="str">
        <f t="shared" si="11"/>
        <v>Safe</v>
      </c>
      <c r="N151" s="2" t="str">
        <f t="shared" si="12"/>
        <v>Safe</v>
      </c>
      <c r="O151" s="2" t="str">
        <f t="shared" si="13"/>
        <v>Safe</v>
      </c>
      <c r="P151" s="2" t="str">
        <f t="shared" si="14"/>
        <v>Safe</v>
      </c>
    </row>
    <row r="152" spans="1:16" x14ac:dyDescent="0.35">
      <c r="A152" s="2" t="s">
        <v>161</v>
      </c>
      <c r="B152" s="3">
        <v>44874</v>
      </c>
      <c r="C152" s="3" t="str">
        <f t="shared" si="10"/>
        <v>Nov</v>
      </c>
      <c r="D152" s="2" t="s">
        <v>316</v>
      </c>
      <c r="E152" s="2" t="s">
        <v>312</v>
      </c>
      <c r="F152" s="2">
        <v>6.9</v>
      </c>
      <c r="G152" s="2">
        <v>791</v>
      </c>
      <c r="H152" s="2">
        <v>175</v>
      </c>
      <c r="I152" s="2">
        <v>252</v>
      </c>
      <c r="J152" s="2">
        <v>77</v>
      </c>
      <c r="K152" s="2">
        <v>5.0000000000000001E-3</v>
      </c>
      <c r="L152" s="2">
        <v>24</v>
      </c>
      <c r="M152" s="2" t="str">
        <f t="shared" si="11"/>
        <v>Safe</v>
      </c>
      <c r="N152" s="2" t="str">
        <f t="shared" si="12"/>
        <v>Unsafe</v>
      </c>
      <c r="O152" s="2" t="str">
        <f t="shared" si="13"/>
        <v>Safe</v>
      </c>
      <c r="P152" s="2" t="str">
        <f t="shared" si="14"/>
        <v>Contaminated</v>
      </c>
    </row>
    <row r="153" spans="1:16" x14ac:dyDescent="0.35">
      <c r="A153" s="2" t="s">
        <v>162</v>
      </c>
      <c r="B153" s="3">
        <v>44596</v>
      </c>
      <c r="C153" s="3" t="str">
        <f t="shared" si="10"/>
        <v>Feb</v>
      </c>
      <c r="D153" s="2" t="s">
        <v>311</v>
      </c>
      <c r="E153" s="2" t="s">
        <v>315</v>
      </c>
      <c r="F153" s="2">
        <v>8.8000000000000007</v>
      </c>
      <c r="G153" s="2">
        <v>1196</v>
      </c>
      <c r="H153" s="2">
        <v>113</v>
      </c>
      <c r="I153" s="2">
        <v>111</v>
      </c>
      <c r="J153" s="2">
        <v>35</v>
      </c>
      <c r="K153" s="2">
        <v>1.6E-2</v>
      </c>
      <c r="L153" s="2">
        <v>12</v>
      </c>
      <c r="M153" s="2" t="str">
        <f t="shared" si="11"/>
        <v>Unsafe</v>
      </c>
      <c r="N153" s="2" t="str">
        <f t="shared" si="12"/>
        <v>Safe</v>
      </c>
      <c r="O153" s="2" t="str">
        <f t="shared" si="13"/>
        <v>Unsafe</v>
      </c>
      <c r="P153" s="2" t="str">
        <f t="shared" si="14"/>
        <v>Contaminated</v>
      </c>
    </row>
    <row r="154" spans="1:16" x14ac:dyDescent="0.35">
      <c r="A154" s="2" t="s">
        <v>163</v>
      </c>
      <c r="B154" s="3">
        <v>44870</v>
      </c>
      <c r="C154" s="3" t="str">
        <f t="shared" si="10"/>
        <v>Nov</v>
      </c>
      <c r="D154" s="2" t="s">
        <v>313</v>
      </c>
      <c r="E154" s="2" t="s">
        <v>312</v>
      </c>
      <c r="F154" s="2">
        <v>8.4</v>
      </c>
      <c r="G154" s="2">
        <v>1712</v>
      </c>
      <c r="H154" s="2">
        <v>542</v>
      </c>
      <c r="I154" s="2">
        <v>76</v>
      </c>
      <c r="J154" s="2">
        <v>42</v>
      </c>
      <c r="K154" s="2">
        <v>3.0000000000000001E-3</v>
      </c>
      <c r="L154" s="2">
        <v>29</v>
      </c>
      <c r="M154" s="2" t="str">
        <f t="shared" si="11"/>
        <v>Safe</v>
      </c>
      <c r="N154" s="2" t="str">
        <f t="shared" si="12"/>
        <v>Safe</v>
      </c>
      <c r="O154" s="2" t="str">
        <f t="shared" si="13"/>
        <v>Safe</v>
      </c>
      <c r="P154" s="2" t="str">
        <f t="shared" si="14"/>
        <v>Safe</v>
      </c>
    </row>
    <row r="155" spans="1:16" x14ac:dyDescent="0.35">
      <c r="A155" s="2" t="s">
        <v>164</v>
      </c>
      <c r="B155" s="3">
        <v>44643</v>
      </c>
      <c r="C155" s="3" t="str">
        <f t="shared" si="10"/>
        <v>Mar</v>
      </c>
      <c r="D155" s="2" t="s">
        <v>314</v>
      </c>
      <c r="E155" s="2" t="s">
        <v>318</v>
      </c>
      <c r="F155" s="2">
        <v>7.8</v>
      </c>
      <c r="G155" s="2">
        <v>629</v>
      </c>
      <c r="H155" s="2">
        <v>238</v>
      </c>
      <c r="I155" s="2">
        <v>172</v>
      </c>
      <c r="J155" s="2">
        <v>23</v>
      </c>
      <c r="K155" s="2">
        <v>1.0999999999999999E-2</v>
      </c>
      <c r="L155" s="2">
        <v>18</v>
      </c>
      <c r="M155" s="2" t="str">
        <f t="shared" si="11"/>
        <v>Safe</v>
      </c>
      <c r="N155" s="2" t="str">
        <f t="shared" si="12"/>
        <v>Safe</v>
      </c>
      <c r="O155" s="2" t="str">
        <f t="shared" si="13"/>
        <v>Unsafe</v>
      </c>
      <c r="P155" s="2" t="str">
        <f t="shared" si="14"/>
        <v>Contaminated</v>
      </c>
    </row>
    <row r="156" spans="1:16" x14ac:dyDescent="0.35">
      <c r="A156" s="2" t="s">
        <v>165</v>
      </c>
      <c r="B156" s="3">
        <v>44708</v>
      </c>
      <c r="C156" s="3" t="str">
        <f t="shared" si="10"/>
        <v>May</v>
      </c>
      <c r="D156" s="2" t="s">
        <v>314</v>
      </c>
      <c r="E156" s="2" t="s">
        <v>318</v>
      </c>
      <c r="F156" s="2">
        <v>8.1999999999999993</v>
      </c>
      <c r="G156" s="2">
        <v>974</v>
      </c>
      <c r="H156" s="2">
        <v>327</v>
      </c>
      <c r="I156" s="2">
        <v>64</v>
      </c>
      <c r="J156" s="2">
        <v>1</v>
      </c>
      <c r="K156" s="2">
        <v>6.0000000000000001E-3</v>
      </c>
      <c r="L156" s="2">
        <v>22</v>
      </c>
      <c r="M156" s="2" t="str">
        <f t="shared" si="11"/>
        <v>Safe</v>
      </c>
      <c r="N156" s="2" t="str">
        <f t="shared" si="12"/>
        <v>Safe</v>
      </c>
      <c r="O156" s="2" t="str">
        <f t="shared" si="13"/>
        <v>Safe</v>
      </c>
      <c r="P156" s="2" t="str">
        <f t="shared" si="14"/>
        <v>Safe</v>
      </c>
    </row>
    <row r="157" spans="1:16" x14ac:dyDescent="0.35">
      <c r="A157" s="2" t="s">
        <v>166</v>
      </c>
      <c r="B157" s="3">
        <v>44697</v>
      </c>
      <c r="C157" s="3" t="str">
        <f t="shared" si="10"/>
        <v>May</v>
      </c>
      <c r="D157" s="2" t="s">
        <v>314</v>
      </c>
      <c r="E157" s="2" t="s">
        <v>312</v>
      </c>
      <c r="F157" s="2">
        <v>8.9</v>
      </c>
      <c r="G157" s="2">
        <v>1131</v>
      </c>
      <c r="H157" s="2">
        <v>215</v>
      </c>
      <c r="I157" s="2">
        <v>189</v>
      </c>
      <c r="J157" s="2">
        <v>80</v>
      </c>
      <c r="K157" s="2">
        <v>1.4999999999999999E-2</v>
      </c>
      <c r="L157" s="2">
        <v>13</v>
      </c>
      <c r="M157" s="2" t="str">
        <f t="shared" si="11"/>
        <v>Unsafe</v>
      </c>
      <c r="N157" s="2" t="str">
        <f t="shared" si="12"/>
        <v>Unsafe</v>
      </c>
      <c r="O157" s="2" t="str">
        <f t="shared" si="13"/>
        <v>Unsafe</v>
      </c>
      <c r="P157" s="2" t="str">
        <f t="shared" si="14"/>
        <v>Contaminated</v>
      </c>
    </row>
    <row r="158" spans="1:16" x14ac:dyDescent="0.35">
      <c r="A158" s="2" t="s">
        <v>167</v>
      </c>
      <c r="B158" s="3">
        <v>44665</v>
      </c>
      <c r="C158" s="3" t="str">
        <f t="shared" si="10"/>
        <v>Apr</v>
      </c>
      <c r="D158" s="2" t="s">
        <v>313</v>
      </c>
      <c r="E158" s="2" t="s">
        <v>312</v>
      </c>
      <c r="F158" s="2">
        <v>6.6</v>
      </c>
      <c r="G158" s="2">
        <v>1056</v>
      </c>
      <c r="H158" s="2">
        <v>229</v>
      </c>
      <c r="I158" s="2">
        <v>190</v>
      </c>
      <c r="J158" s="2">
        <v>63</v>
      </c>
      <c r="K158" s="2">
        <v>4.0000000000000001E-3</v>
      </c>
      <c r="L158" s="2">
        <v>23</v>
      </c>
      <c r="M158" s="2" t="str">
        <f t="shared" si="11"/>
        <v>Safe</v>
      </c>
      <c r="N158" s="2" t="str">
        <f t="shared" si="12"/>
        <v>Unsafe</v>
      </c>
      <c r="O158" s="2" t="str">
        <f t="shared" si="13"/>
        <v>Safe</v>
      </c>
      <c r="P158" s="2" t="str">
        <f t="shared" si="14"/>
        <v>Contaminated</v>
      </c>
    </row>
    <row r="159" spans="1:16" x14ac:dyDescent="0.35">
      <c r="A159" s="2" t="s">
        <v>168</v>
      </c>
      <c r="B159" s="3">
        <v>44809</v>
      </c>
      <c r="C159" s="3" t="str">
        <f t="shared" si="10"/>
        <v>Sep</v>
      </c>
      <c r="D159" s="2" t="s">
        <v>311</v>
      </c>
      <c r="E159" s="2" t="s">
        <v>312</v>
      </c>
      <c r="F159" s="2">
        <v>6.7</v>
      </c>
      <c r="G159" s="2">
        <v>838</v>
      </c>
      <c r="H159" s="2">
        <v>1198</v>
      </c>
      <c r="I159" s="2">
        <v>163</v>
      </c>
      <c r="J159" s="2">
        <v>23</v>
      </c>
      <c r="K159" s="2">
        <v>1E-3</v>
      </c>
      <c r="L159" s="2">
        <v>17</v>
      </c>
      <c r="M159" s="2" t="str">
        <f t="shared" si="11"/>
        <v>Safe</v>
      </c>
      <c r="N159" s="2" t="str">
        <f t="shared" si="12"/>
        <v>Safe</v>
      </c>
      <c r="O159" s="2" t="str">
        <f t="shared" si="13"/>
        <v>Safe</v>
      </c>
      <c r="P159" s="2" t="str">
        <f t="shared" si="14"/>
        <v>Safe</v>
      </c>
    </row>
    <row r="160" spans="1:16" x14ac:dyDescent="0.35">
      <c r="A160" s="2" t="s">
        <v>169</v>
      </c>
      <c r="B160" s="3">
        <v>44899</v>
      </c>
      <c r="C160" s="3" t="str">
        <f t="shared" si="10"/>
        <v>Dec</v>
      </c>
      <c r="D160" s="2" t="s">
        <v>313</v>
      </c>
      <c r="E160" s="2" t="s">
        <v>315</v>
      </c>
      <c r="F160" s="2">
        <v>6.2</v>
      </c>
      <c r="G160" s="2">
        <v>324</v>
      </c>
      <c r="H160" s="2">
        <v>306</v>
      </c>
      <c r="I160" s="2">
        <v>110</v>
      </c>
      <c r="J160" s="2">
        <v>52</v>
      </c>
      <c r="K160" s="2">
        <v>0.02</v>
      </c>
      <c r="L160" s="2">
        <v>20</v>
      </c>
      <c r="M160" s="2" t="str">
        <f t="shared" si="11"/>
        <v>Unsafe</v>
      </c>
      <c r="N160" s="2" t="str">
        <f t="shared" si="12"/>
        <v>Unsafe</v>
      </c>
      <c r="O160" s="2" t="str">
        <f t="shared" si="13"/>
        <v>Unsafe</v>
      </c>
      <c r="P160" s="2" t="str">
        <f t="shared" si="14"/>
        <v>Contaminated</v>
      </c>
    </row>
    <row r="161" spans="1:16" x14ac:dyDescent="0.35">
      <c r="A161" s="2" t="s">
        <v>170</v>
      </c>
      <c r="B161" s="3">
        <v>44920</v>
      </c>
      <c r="C161" s="3" t="str">
        <f t="shared" si="10"/>
        <v>Dec</v>
      </c>
      <c r="D161" s="2" t="s">
        <v>314</v>
      </c>
      <c r="E161" s="2" t="s">
        <v>315</v>
      </c>
      <c r="F161" s="2">
        <v>8.1</v>
      </c>
      <c r="G161" s="2">
        <v>761</v>
      </c>
      <c r="H161" s="2">
        <v>1146</v>
      </c>
      <c r="I161" s="2">
        <v>62</v>
      </c>
      <c r="J161" s="2">
        <v>51</v>
      </c>
      <c r="K161" s="2">
        <v>1.0999999999999999E-2</v>
      </c>
      <c r="L161" s="2">
        <v>11</v>
      </c>
      <c r="M161" s="2" t="str">
        <f t="shared" si="11"/>
        <v>Safe</v>
      </c>
      <c r="N161" s="2" t="str">
        <f t="shared" si="12"/>
        <v>Unsafe</v>
      </c>
      <c r="O161" s="2" t="str">
        <f t="shared" si="13"/>
        <v>Unsafe</v>
      </c>
      <c r="P161" s="2" t="str">
        <f t="shared" si="14"/>
        <v>Contaminated</v>
      </c>
    </row>
    <row r="162" spans="1:16" x14ac:dyDescent="0.35">
      <c r="A162" s="2" t="s">
        <v>171</v>
      </c>
      <c r="B162" s="3">
        <v>44823</v>
      </c>
      <c r="C162" s="3" t="str">
        <f t="shared" si="10"/>
        <v>Sep</v>
      </c>
      <c r="D162" s="2" t="s">
        <v>314</v>
      </c>
      <c r="E162" s="2" t="s">
        <v>312</v>
      </c>
      <c r="F162" s="2">
        <v>6.2</v>
      </c>
      <c r="G162" s="2">
        <v>959</v>
      </c>
      <c r="H162" s="2">
        <v>1148</v>
      </c>
      <c r="I162" s="2">
        <v>248</v>
      </c>
      <c r="J162" s="2">
        <v>26</v>
      </c>
      <c r="K162" s="2">
        <v>5.0000000000000001E-3</v>
      </c>
      <c r="L162" s="2">
        <v>13</v>
      </c>
      <c r="M162" s="2" t="str">
        <f t="shared" si="11"/>
        <v>Unsafe</v>
      </c>
      <c r="N162" s="2" t="str">
        <f t="shared" si="12"/>
        <v>Safe</v>
      </c>
      <c r="O162" s="2" t="str">
        <f t="shared" si="13"/>
        <v>Safe</v>
      </c>
      <c r="P162" s="2" t="str">
        <f t="shared" si="14"/>
        <v>Contaminated</v>
      </c>
    </row>
    <row r="163" spans="1:16" x14ac:dyDescent="0.35">
      <c r="A163" s="2" t="s">
        <v>172</v>
      </c>
      <c r="B163" s="3">
        <v>44811</v>
      </c>
      <c r="C163" s="3" t="str">
        <f t="shared" si="10"/>
        <v>Sep</v>
      </c>
      <c r="D163" s="2" t="s">
        <v>311</v>
      </c>
      <c r="E163" s="2" t="s">
        <v>312</v>
      </c>
      <c r="F163" s="2">
        <v>8.5</v>
      </c>
      <c r="G163" s="2">
        <v>1596</v>
      </c>
      <c r="H163" s="2">
        <v>177</v>
      </c>
      <c r="I163" s="2">
        <v>125</v>
      </c>
      <c r="J163" s="2">
        <v>74</v>
      </c>
      <c r="K163" s="2">
        <v>4.0000000000000001E-3</v>
      </c>
      <c r="L163" s="2">
        <v>20</v>
      </c>
      <c r="M163" s="2" t="str">
        <f t="shared" si="11"/>
        <v>Safe</v>
      </c>
      <c r="N163" s="2" t="str">
        <f t="shared" si="12"/>
        <v>Unsafe</v>
      </c>
      <c r="O163" s="2" t="str">
        <f t="shared" si="13"/>
        <v>Safe</v>
      </c>
      <c r="P163" s="2" t="str">
        <f t="shared" si="14"/>
        <v>Contaminated</v>
      </c>
    </row>
    <row r="164" spans="1:16" x14ac:dyDescent="0.35">
      <c r="A164" s="2" t="s">
        <v>173</v>
      </c>
      <c r="B164" s="3">
        <v>44861</v>
      </c>
      <c r="C164" s="3" t="str">
        <f t="shared" si="10"/>
        <v>Oct</v>
      </c>
      <c r="D164" s="2" t="s">
        <v>311</v>
      </c>
      <c r="E164" s="2" t="s">
        <v>315</v>
      </c>
      <c r="F164" s="2">
        <v>7.2</v>
      </c>
      <c r="G164" s="2">
        <v>499</v>
      </c>
      <c r="H164" s="2">
        <v>988</v>
      </c>
      <c r="I164" s="2">
        <v>145</v>
      </c>
      <c r="J164" s="2">
        <v>54</v>
      </c>
      <c r="K164" s="2">
        <v>1.9E-2</v>
      </c>
      <c r="L164" s="2">
        <v>21</v>
      </c>
      <c r="M164" s="2" t="str">
        <f t="shared" si="11"/>
        <v>Safe</v>
      </c>
      <c r="N164" s="2" t="str">
        <f t="shared" si="12"/>
        <v>Unsafe</v>
      </c>
      <c r="O164" s="2" t="str">
        <f t="shared" si="13"/>
        <v>Unsafe</v>
      </c>
      <c r="P164" s="2" t="str">
        <f t="shared" si="14"/>
        <v>Contaminated</v>
      </c>
    </row>
    <row r="165" spans="1:16" x14ac:dyDescent="0.35">
      <c r="A165" s="2" t="s">
        <v>174</v>
      </c>
      <c r="B165" s="3">
        <v>44850</v>
      </c>
      <c r="C165" s="3" t="str">
        <f t="shared" si="10"/>
        <v>Oct</v>
      </c>
      <c r="D165" s="2" t="s">
        <v>311</v>
      </c>
      <c r="E165" s="2" t="s">
        <v>315</v>
      </c>
      <c r="F165" s="2">
        <v>6</v>
      </c>
      <c r="G165" s="2">
        <v>970</v>
      </c>
      <c r="H165" s="2">
        <v>1006</v>
      </c>
      <c r="I165" s="2">
        <v>160</v>
      </c>
      <c r="J165" s="2">
        <v>2</v>
      </c>
      <c r="K165" s="2">
        <v>0</v>
      </c>
      <c r="L165" s="2">
        <v>20</v>
      </c>
      <c r="M165" s="2" t="str">
        <f t="shared" si="11"/>
        <v>Unsafe</v>
      </c>
      <c r="N165" s="2" t="str">
        <f t="shared" si="12"/>
        <v>Safe</v>
      </c>
      <c r="O165" s="2" t="str">
        <f t="shared" si="13"/>
        <v>Safe</v>
      </c>
      <c r="P165" s="2" t="str">
        <f t="shared" si="14"/>
        <v>Contaminated</v>
      </c>
    </row>
    <row r="166" spans="1:16" x14ac:dyDescent="0.35">
      <c r="A166" s="2" t="s">
        <v>175</v>
      </c>
      <c r="B166" s="3">
        <v>44629</v>
      </c>
      <c r="C166" s="3" t="str">
        <f t="shared" si="10"/>
        <v>Mar</v>
      </c>
      <c r="D166" s="2" t="s">
        <v>316</v>
      </c>
      <c r="E166" s="2" t="s">
        <v>318</v>
      </c>
      <c r="F166" s="2">
        <v>8.1</v>
      </c>
      <c r="G166" s="2">
        <v>1013</v>
      </c>
      <c r="H166" s="2">
        <v>970</v>
      </c>
      <c r="I166" s="2">
        <v>245</v>
      </c>
      <c r="J166" s="2">
        <v>14</v>
      </c>
      <c r="K166" s="2">
        <v>1.0999999999999999E-2</v>
      </c>
      <c r="L166" s="2">
        <v>19</v>
      </c>
      <c r="M166" s="2" t="str">
        <f t="shared" si="11"/>
        <v>Safe</v>
      </c>
      <c r="N166" s="2" t="str">
        <f t="shared" si="12"/>
        <v>Safe</v>
      </c>
      <c r="O166" s="2" t="str">
        <f t="shared" si="13"/>
        <v>Unsafe</v>
      </c>
      <c r="P166" s="2" t="str">
        <f t="shared" si="14"/>
        <v>Contaminated</v>
      </c>
    </row>
    <row r="167" spans="1:16" x14ac:dyDescent="0.35">
      <c r="A167" s="2" t="s">
        <v>176</v>
      </c>
      <c r="B167" s="3">
        <v>44832</v>
      </c>
      <c r="C167" s="3" t="str">
        <f t="shared" si="10"/>
        <v>Sep</v>
      </c>
      <c r="D167" s="2" t="s">
        <v>311</v>
      </c>
      <c r="E167" s="2" t="s">
        <v>312</v>
      </c>
      <c r="F167" s="2">
        <v>7.2</v>
      </c>
      <c r="G167" s="2">
        <v>1170</v>
      </c>
      <c r="H167" s="2">
        <v>361</v>
      </c>
      <c r="I167" s="2">
        <v>361</v>
      </c>
      <c r="J167" s="2">
        <v>6</v>
      </c>
      <c r="K167" s="2">
        <v>1.6E-2</v>
      </c>
      <c r="L167" s="2">
        <v>21</v>
      </c>
      <c r="M167" s="2" t="str">
        <f t="shared" si="11"/>
        <v>Safe</v>
      </c>
      <c r="N167" s="2" t="str">
        <f t="shared" si="12"/>
        <v>Safe</v>
      </c>
      <c r="O167" s="2" t="str">
        <f t="shared" si="13"/>
        <v>Unsafe</v>
      </c>
      <c r="P167" s="2" t="str">
        <f t="shared" si="14"/>
        <v>Contaminated</v>
      </c>
    </row>
    <row r="168" spans="1:16" x14ac:dyDescent="0.35">
      <c r="A168" s="2" t="s">
        <v>177</v>
      </c>
      <c r="B168" s="3">
        <v>44566</v>
      </c>
      <c r="C168" s="3" t="str">
        <f t="shared" si="10"/>
        <v>Jan</v>
      </c>
      <c r="D168" s="2" t="s">
        <v>317</v>
      </c>
      <c r="E168" s="2" t="s">
        <v>318</v>
      </c>
      <c r="F168" s="2">
        <v>7</v>
      </c>
      <c r="G168" s="2">
        <v>1733</v>
      </c>
      <c r="H168" s="2">
        <v>127</v>
      </c>
      <c r="I168" s="2">
        <v>340</v>
      </c>
      <c r="J168" s="2">
        <v>36</v>
      </c>
      <c r="K168" s="2">
        <v>3.0000000000000001E-3</v>
      </c>
      <c r="L168" s="2">
        <v>16</v>
      </c>
      <c r="M168" s="2" t="str">
        <f t="shared" si="11"/>
        <v>Safe</v>
      </c>
      <c r="N168" s="2" t="str">
        <f t="shared" si="12"/>
        <v>Safe</v>
      </c>
      <c r="O168" s="2" t="str">
        <f t="shared" si="13"/>
        <v>Safe</v>
      </c>
      <c r="P168" s="2" t="str">
        <f t="shared" si="14"/>
        <v>Safe</v>
      </c>
    </row>
    <row r="169" spans="1:16" x14ac:dyDescent="0.35">
      <c r="A169" s="2" t="s">
        <v>178</v>
      </c>
      <c r="B169" s="3">
        <v>44904</v>
      </c>
      <c r="C169" s="3" t="str">
        <f t="shared" si="10"/>
        <v>Dec</v>
      </c>
      <c r="D169" s="2" t="s">
        <v>313</v>
      </c>
      <c r="E169" s="2" t="s">
        <v>315</v>
      </c>
      <c r="F169" s="2">
        <v>8.1999999999999993</v>
      </c>
      <c r="G169" s="2">
        <v>1228</v>
      </c>
      <c r="H169" s="2">
        <v>511</v>
      </c>
      <c r="I169" s="2">
        <v>329</v>
      </c>
      <c r="J169" s="2">
        <v>25</v>
      </c>
      <c r="K169" s="2">
        <v>4.0000000000000001E-3</v>
      </c>
      <c r="L169" s="2">
        <v>31</v>
      </c>
      <c r="M169" s="2" t="str">
        <f t="shared" si="11"/>
        <v>Safe</v>
      </c>
      <c r="N169" s="2" t="str">
        <f t="shared" si="12"/>
        <v>Safe</v>
      </c>
      <c r="O169" s="2" t="str">
        <f t="shared" si="13"/>
        <v>Safe</v>
      </c>
      <c r="P169" s="2" t="str">
        <f t="shared" si="14"/>
        <v>Safe</v>
      </c>
    </row>
    <row r="170" spans="1:16" x14ac:dyDescent="0.35">
      <c r="A170" s="2" t="s">
        <v>179</v>
      </c>
      <c r="B170" s="3">
        <v>44610</v>
      </c>
      <c r="C170" s="3" t="str">
        <f t="shared" si="10"/>
        <v>Feb</v>
      </c>
      <c r="D170" s="2" t="s">
        <v>311</v>
      </c>
      <c r="E170" s="2" t="s">
        <v>318</v>
      </c>
      <c r="F170" s="2">
        <v>6.4</v>
      </c>
      <c r="G170" s="2">
        <v>443</v>
      </c>
      <c r="H170" s="2">
        <v>351</v>
      </c>
      <c r="I170" s="2">
        <v>242</v>
      </c>
      <c r="J170" s="2">
        <v>73</v>
      </c>
      <c r="K170" s="2">
        <v>1.7999999999999999E-2</v>
      </c>
      <c r="L170" s="2">
        <v>34</v>
      </c>
      <c r="M170" s="2" t="str">
        <f t="shared" si="11"/>
        <v>Unsafe</v>
      </c>
      <c r="N170" s="2" t="str">
        <f t="shared" si="12"/>
        <v>Unsafe</v>
      </c>
      <c r="O170" s="2" t="str">
        <f t="shared" si="13"/>
        <v>Unsafe</v>
      </c>
      <c r="P170" s="2" t="str">
        <f t="shared" si="14"/>
        <v>Contaminated</v>
      </c>
    </row>
    <row r="171" spans="1:16" x14ac:dyDescent="0.35">
      <c r="A171" s="2" t="s">
        <v>180</v>
      </c>
      <c r="B171" s="3">
        <v>44673</v>
      </c>
      <c r="C171" s="3" t="str">
        <f t="shared" si="10"/>
        <v>Apr</v>
      </c>
      <c r="D171" s="2" t="s">
        <v>317</v>
      </c>
      <c r="E171" s="2" t="s">
        <v>318</v>
      </c>
      <c r="F171" s="2">
        <v>6.5</v>
      </c>
      <c r="G171" s="2">
        <v>1695</v>
      </c>
      <c r="H171" s="2">
        <v>564</v>
      </c>
      <c r="I171" s="2">
        <v>325</v>
      </c>
      <c r="J171" s="2">
        <v>74</v>
      </c>
      <c r="K171" s="2">
        <v>1.6E-2</v>
      </c>
      <c r="L171" s="2">
        <v>17</v>
      </c>
      <c r="M171" s="2" t="str">
        <f t="shared" si="11"/>
        <v>Safe</v>
      </c>
      <c r="N171" s="2" t="str">
        <f t="shared" si="12"/>
        <v>Unsafe</v>
      </c>
      <c r="O171" s="2" t="str">
        <f t="shared" si="13"/>
        <v>Unsafe</v>
      </c>
      <c r="P171" s="2" t="str">
        <f t="shared" si="14"/>
        <v>Contaminated</v>
      </c>
    </row>
    <row r="172" spans="1:16" x14ac:dyDescent="0.35">
      <c r="A172" s="2" t="s">
        <v>181</v>
      </c>
      <c r="B172" s="3">
        <v>44728</v>
      </c>
      <c r="C172" s="3" t="str">
        <f t="shared" si="10"/>
        <v>Jun</v>
      </c>
      <c r="D172" s="2" t="s">
        <v>317</v>
      </c>
      <c r="E172" s="2" t="s">
        <v>315</v>
      </c>
      <c r="F172" s="2">
        <v>6.3</v>
      </c>
      <c r="G172" s="2">
        <v>592</v>
      </c>
      <c r="H172" s="2">
        <v>1057</v>
      </c>
      <c r="I172" s="2">
        <v>136</v>
      </c>
      <c r="J172" s="2">
        <v>20</v>
      </c>
      <c r="K172" s="2">
        <v>1.9E-2</v>
      </c>
      <c r="L172" s="2">
        <v>21</v>
      </c>
      <c r="M172" s="2" t="str">
        <f t="shared" si="11"/>
        <v>Unsafe</v>
      </c>
      <c r="N172" s="2" t="str">
        <f t="shared" si="12"/>
        <v>Safe</v>
      </c>
      <c r="O172" s="2" t="str">
        <f t="shared" si="13"/>
        <v>Unsafe</v>
      </c>
      <c r="P172" s="2" t="str">
        <f t="shared" si="14"/>
        <v>Contaminated</v>
      </c>
    </row>
    <row r="173" spans="1:16" x14ac:dyDescent="0.35">
      <c r="A173" s="2" t="s">
        <v>182</v>
      </c>
      <c r="B173" s="3">
        <v>44764</v>
      </c>
      <c r="C173" s="3" t="str">
        <f t="shared" si="10"/>
        <v>Jul</v>
      </c>
      <c r="D173" s="2" t="s">
        <v>313</v>
      </c>
      <c r="E173" s="2" t="s">
        <v>315</v>
      </c>
      <c r="F173" s="2">
        <v>9</v>
      </c>
      <c r="G173" s="2">
        <v>1516</v>
      </c>
      <c r="H173" s="2">
        <v>759</v>
      </c>
      <c r="I173" s="2">
        <v>180</v>
      </c>
      <c r="J173" s="2">
        <v>60</v>
      </c>
      <c r="K173" s="2">
        <v>1.0999999999999999E-2</v>
      </c>
      <c r="L173" s="2">
        <v>34</v>
      </c>
      <c r="M173" s="2" t="str">
        <f t="shared" si="11"/>
        <v>Unsafe</v>
      </c>
      <c r="N173" s="2" t="str">
        <f t="shared" si="12"/>
        <v>Unsafe</v>
      </c>
      <c r="O173" s="2" t="str">
        <f t="shared" si="13"/>
        <v>Unsafe</v>
      </c>
      <c r="P173" s="2" t="str">
        <f t="shared" si="14"/>
        <v>Contaminated</v>
      </c>
    </row>
    <row r="174" spans="1:16" x14ac:dyDescent="0.35">
      <c r="A174" s="2" t="s">
        <v>183</v>
      </c>
      <c r="B174" s="3">
        <v>44851</v>
      </c>
      <c r="C174" s="3" t="str">
        <f t="shared" si="10"/>
        <v>Oct</v>
      </c>
      <c r="D174" s="2" t="s">
        <v>311</v>
      </c>
      <c r="E174" s="2" t="s">
        <v>315</v>
      </c>
      <c r="F174" s="2">
        <v>7.8</v>
      </c>
      <c r="G174" s="2">
        <v>1763</v>
      </c>
      <c r="H174" s="2">
        <v>372</v>
      </c>
      <c r="I174" s="2">
        <v>173</v>
      </c>
      <c r="J174" s="2">
        <v>72</v>
      </c>
      <c r="K174" s="2">
        <v>0.02</v>
      </c>
      <c r="L174" s="2">
        <v>24</v>
      </c>
      <c r="M174" s="2" t="str">
        <f t="shared" si="11"/>
        <v>Safe</v>
      </c>
      <c r="N174" s="2" t="str">
        <f t="shared" si="12"/>
        <v>Unsafe</v>
      </c>
      <c r="O174" s="2" t="str">
        <f t="shared" si="13"/>
        <v>Unsafe</v>
      </c>
      <c r="P174" s="2" t="str">
        <f t="shared" si="14"/>
        <v>Contaminated</v>
      </c>
    </row>
    <row r="175" spans="1:16" x14ac:dyDescent="0.35">
      <c r="A175" s="2" t="s">
        <v>184</v>
      </c>
      <c r="B175" s="3">
        <v>44690</v>
      </c>
      <c r="C175" s="3" t="str">
        <f t="shared" si="10"/>
        <v>May</v>
      </c>
      <c r="D175" s="2" t="s">
        <v>313</v>
      </c>
      <c r="E175" s="2" t="s">
        <v>315</v>
      </c>
      <c r="F175" s="2">
        <v>7.6</v>
      </c>
      <c r="G175" s="2">
        <v>716</v>
      </c>
      <c r="H175" s="2">
        <v>255</v>
      </c>
      <c r="I175" s="2">
        <v>329</v>
      </c>
      <c r="J175" s="2">
        <v>4</v>
      </c>
      <c r="K175" s="2">
        <v>6.0000000000000001E-3</v>
      </c>
      <c r="L175" s="2">
        <v>15</v>
      </c>
      <c r="M175" s="2" t="str">
        <f t="shared" si="11"/>
        <v>Safe</v>
      </c>
      <c r="N175" s="2" t="str">
        <f t="shared" si="12"/>
        <v>Safe</v>
      </c>
      <c r="O175" s="2" t="str">
        <f t="shared" si="13"/>
        <v>Safe</v>
      </c>
      <c r="P175" s="2" t="str">
        <f t="shared" si="14"/>
        <v>Safe</v>
      </c>
    </row>
    <row r="176" spans="1:16" x14ac:dyDescent="0.35">
      <c r="A176" s="2" t="s">
        <v>185</v>
      </c>
      <c r="B176" s="3">
        <v>44729</v>
      </c>
      <c r="C176" s="3" t="str">
        <f t="shared" si="10"/>
        <v>Jun</v>
      </c>
      <c r="D176" s="2" t="s">
        <v>313</v>
      </c>
      <c r="E176" s="2" t="s">
        <v>315</v>
      </c>
      <c r="F176" s="2">
        <v>6.5</v>
      </c>
      <c r="G176" s="2">
        <v>388</v>
      </c>
      <c r="H176" s="2">
        <v>920</v>
      </c>
      <c r="I176" s="2">
        <v>111</v>
      </c>
      <c r="J176" s="2">
        <v>56</v>
      </c>
      <c r="K176" s="2">
        <v>1.4E-2</v>
      </c>
      <c r="L176" s="2">
        <v>24</v>
      </c>
      <c r="M176" s="2" t="str">
        <f t="shared" si="11"/>
        <v>Safe</v>
      </c>
      <c r="N176" s="2" t="str">
        <f t="shared" si="12"/>
        <v>Unsafe</v>
      </c>
      <c r="O176" s="2" t="str">
        <f t="shared" si="13"/>
        <v>Unsafe</v>
      </c>
      <c r="P176" s="2" t="str">
        <f t="shared" si="14"/>
        <v>Contaminated</v>
      </c>
    </row>
    <row r="177" spans="1:16" x14ac:dyDescent="0.35">
      <c r="A177" s="2" t="s">
        <v>186</v>
      </c>
      <c r="B177" s="3">
        <v>44794</v>
      </c>
      <c r="C177" s="3" t="str">
        <f t="shared" si="10"/>
        <v>Aug</v>
      </c>
      <c r="D177" s="2" t="s">
        <v>317</v>
      </c>
      <c r="E177" s="2" t="s">
        <v>318</v>
      </c>
      <c r="F177" s="2">
        <v>7.3</v>
      </c>
      <c r="G177" s="2">
        <v>1255</v>
      </c>
      <c r="H177" s="2">
        <v>120</v>
      </c>
      <c r="I177" s="2">
        <v>342</v>
      </c>
      <c r="J177" s="2">
        <v>28</v>
      </c>
      <c r="K177" s="2">
        <v>8.9999999999999993E-3</v>
      </c>
      <c r="L177" s="2">
        <v>25</v>
      </c>
      <c r="M177" s="2" t="str">
        <f t="shared" si="11"/>
        <v>Safe</v>
      </c>
      <c r="N177" s="2" t="str">
        <f t="shared" si="12"/>
        <v>Safe</v>
      </c>
      <c r="O177" s="2" t="str">
        <f t="shared" si="13"/>
        <v>Safe</v>
      </c>
      <c r="P177" s="2" t="str">
        <f t="shared" si="14"/>
        <v>Safe</v>
      </c>
    </row>
    <row r="178" spans="1:16" x14ac:dyDescent="0.35">
      <c r="A178" s="2" t="s">
        <v>187</v>
      </c>
      <c r="B178" s="3">
        <v>44623</v>
      </c>
      <c r="C178" s="3" t="str">
        <f t="shared" si="10"/>
        <v>Mar</v>
      </c>
      <c r="D178" s="2" t="s">
        <v>316</v>
      </c>
      <c r="E178" s="2" t="s">
        <v>318</v>
      </c>
      <c r="F178" s="2">
        <v>8.8000000000000007</v>
      </c>
      <c r="G178" s="2">
        <v>1064</v>
      </c>
      <c r="H178" s="2">
        <v>248</v>
      </c>
      <c r="I178" s="2">
        <v>208</v>
      </c>
      <c r="J178" s="2">
        <v>34</v>
      </c>
      <c r="K178" s="2">
        <v>0.01</v>
      </c>
      <c r="L178" s="2">
        <v>23</v>
      </c>
      <c r="M178" s="2" t="str">
        <f t="shared" si="11"/>
        <v>Unsafe</v>
      </c>
      <c r="N178" s="2" t="str">
        <f t="shared" si="12"/>
        <v>Safe</v>
      </c>
      <c r="O178" s="2" t="str">
        <f t="shared" si="13"/>
        <v>Safe</v>
      </c>
      <c r="P178" s="2" t="str">
        <f t="shared" si="14"/>
        <v>Contaminated</v>
      </c>
    </row>
    <row r="179" spans="1:16" x14ac:dyDescent="0.35">
      <c r="A179" s="2" t="s">
        <v>188</v>
      </c>
      <c r="B179" s="3">
        <v>44608</v>
      </c>
      <c r="C179" s="3" t="str">
        <f t="shared" si="10"/>
        <v>Feb</v>
      </c>
      <c r="D179" s="2" t="s">
        <v>317</v>
      </c>
      <c r="E179" s="2" t="s">
        <v>312</v>
      </c>
      <c r="F179" s="2">
        <v>6.7</v>
      </c>
      <c r="G179" s="2">
        <v>1497</v>
      </c>
      <c r="H179" s="2">
        <v>743</v>
      </c>
      <c r="I179" s="2">
        <v>336</v>
      </c>
      <c r="J179" s="2">
        <v>72</v>
      </c>
      <c r="K179" s="2">
        <v>8.0000000000000002E-3</v>
      </c>
      <c r="L179" s="2">
        <v>15</v>
      </c>
      <c r="M179" s="2" t="str">
        <f t="shared" si="11"/>
        <v>Safe</v>
      </c>
      <c r="N179" s="2" t="str">
        <f t="shared" si="12"/>
        <v>Unsafe</v>
      </c>
      <c r="O179" s="2" t="str">
        <f t="shared" si="13"/>
        <v>Safe</v>
      </c>
      <c r="P179" s="2" t="str">
        <f t="shared" si="14"/>
        <v>Contaminated</v>
      </c>
    </row>
    <row r="180" spans="1:16" x14ac:dyDescent="0.35">
      <c r="A180" s="2" t="s">
        <v>189</v>
      </c>
      <c r="B180" s="3">
        <v>44594</v>
      </c>
      <c r="C180" s="3" t="str">
        <f t="shared" si="10"/>
        <v>Feb</v>
      </c>
      <c r="D180" s="2" t="s">
        <v>317</v>
      </c>
      <c r="E180" s="2" t="s">
        <v>315</v>
      </c>
      <c r="F180" s="2">
        <v>7.9</v>
      </c>
      <c r="G180" s="2">
        <v>1754</v>
      </c>
      <c r="H180" s="2">
        <v>212</v>
      </c>
      <c r="I180" s="2">
        <v>107</v>
      </c>
      <c r="J180" s="2">
        <v>69</v>
      </c>
      <c r="K180" s="2">
        <v>2E-3</v>
      </c>
      <c r="L180" s="2">
        <v>11</v>
      </c>
      <c r="M180" s="2" t="str">
        <f t="shared" si="11"/>
        <v>Safe</v>
      </c>
      <c r="N180" s="2" t="str">
        <f t="shared" si="12"/>
        <v>Unsafe</v>
      </c>
      <c r="O180" s="2" t="str">
        <f t="shared" si="13"/>
        <v>Safe</v>
      </c>
      <c r="P180" s="2" t="str">
        <f t="shared" si="14"/>
        <v>Contaminated</v>
      </c>
    </row>
    <row r="181" spans="1:16" x14ac:dyDescent="0.35">
      <c r="A181" s="2" t="s">
        <v>190</v>
      </c>
      <c r="B181" s="3">
        <v>44918</v>
      </c>
      <c r="C181" s="3" t="str">
        <f t="shared" si="10"/>
        <v>Dec</v>
      </c>
      <c r="D181" s="2" t="s">
        <v>311</v>
      </c>
      <c r="E181" s="2" t="s">
        <v>312</v>
      </c>
      <c r="F181" s="2">
        <v>7.6</v>
      </c>
      <c r="G181" s="2">
        <v>1285</v>
      </c>
      <c r="H181" s="2">
        <v>1157</v>
      </c>
      <c r="I181" s="2">
        <v>269</v>
      </c>
      <c r="J181" s="2">
        <v>29</v>
      </c>
      <c r="K181" s="2">
        <v>0</v>
      </c>
      <c r="L181" s="2">
        <v>15</v>
      </c>
      <c r="M181" s="2" t="str">
        <f t="shared" si="11"/>
        <v>Safe</v>
      </c>
      <c r="N181" s="2" t="str">
        <f t="shared" si="12"/>
        <v>Safe</v>
      </c>
      <c r="O181" s="2" t="str">
        <f t="shared" si="13"/>
        <v>Safe</v>
      </c>
      <c r="P181" s="2" t="str">
        <f t="shared" si="14"/>
        <v>Safe</v>
      </c>
    </row>
    <row r="182" spans="1:16" x14ac:dyDescent="0.35">
      <c r="A182" s="2" t="s">
        <v>191</v>
      </c>
      <c r="B182" s="3">
        <v>44764</v>
      </c>
      <c r="C182" s="3" t="str">
        <f t="shared" si="10"/>
        <v>Jul</v>
      </c>
      <c r="D182" s="2" t="s">
        <v>313</v>
      </c>
      <c r="E182" s="2" t="s">
        <v>318</v>
      </c>
      <c r="F182" s="2">
        <v>8.9</v>
      </c>
      <c r="G182" s="2">
        <v>920</v>
      </c>
      <c r="H182" s="2">
        <v>791</v>
      </c>
      <c r="I182" s="2">
        <v>131</v>
      </c>
      <c r="J182" s="2">
        <v>0</v>
      </c>
      <c r="K182" s="2">
        <v>1.2999999999999999E-2</v>
      </c>
      <c r="L182" s="2">
        <v>27</v>
      </c>
      <c r="M182" s="2" t="str">
        <f t="shared" si="11"/>
        <v>Unsafe</v>
      </c>
      <c r="N182" s="2" t="str">
        <f t="shared" si="12"/>
        <v>Safe</v>
      </c>
      <c r="O182" s="2" t="str">
        <f t="shared" si="13"/>
        <v>Unsafe</v>
      </c>
      <c r="P182" s="2" t="str">
        <f t="shared" si="14"/>
        <v>Contaminated</v>
      </c>
    </row>
    <row r="183" spans="1:16" x14ac:dyDescent="0.35">
      <c r="A183" s="2" t="s">
        <v>192</v>
      </c>
      <c r="B183" s="3">
        <v>44890</v>
      </c>
      <c r="C183" s="3" t="str">
        <f t="shared" si="10"/>
        <v>Nov</v>
      </c>
      <c r="D183" s="2" t="s">
        <v>316</v>
      </c>
      <c r="E183" s="2" t="s">
        <v>315</v>
      </c>
      <c r="F183" s="2">
        <v>7</v>
      </c>
      <c r="G183" s="2">
        <v>1661</v>
      </c>
      <c r="H183" s="2">
        <v>1188</v>
      </c>
      <c r="I183" s="2">
        <v>237</v>
      </c>
      <c r="J183" s="2">
        <v>32</v>
      </c>
      <c r="K183" s="2">
        <v>3.0000000000000001E-3</v>
      </c>
      <c r="L183" s="2">
        <v>27</v>
      </c>
      <c r="M183" s="2" t="str">
        <f t="shared" si="11"/>
        <v>Safe</v>
      </c>
      <c r="N183" s="2" t="str">
        <f t="shared" si="12"/>
        <v>Safe</v>
      </c>
      <c r="O183" s="2" t="str">
        <f t="shared" si="13"/>
        <v>Safe</v>
      </c>
      <c r="P183" s="2" t="str">
        <f t="shared" si="14"/>
        <v>Safe</v>
      </c>
    </row>
    <row r="184" spans="1:16" x14ac:dyDescent="0.35">
      <c r="A184" s="2" t="s">
        <v>193</v>
      </c>
      <c r="B184" s="3">
        <v>44566</v>
      </c>
      <c r="C184" s="3" t="str">
        <f t="shared" si="10"/>
        <v>Jan</v>
      </c>
      <c r="D184" s="2" t="s">
        <v>313</v>
      </c>
      <c r="E184" s="2" t="s">
        <v>318</v>
      </c>
      <c r="F184" s="2">
        <v>8.9</v>
      </c>
      <c r="G184" s="2">
        <v>451</v>
      </c>
      <c r="H184" s="2">
        <v>1023</v>
      </c>
      <c r="I184" s="2">
        <v>390</v>
      </c>
      <c r="J184" s="2">
        <v>15</v>
      </c>
      <c r="K184" s="2">
        <v>7.0000000000000001E-3</v>
      </c>
      <c r="L184" s="2">
        <v>10</v>
      </c>
      <c r="M184" s="2" t="str">
        <f t="shared" si="11"/>
        <v>Unsafe</v>
      </c>
      <c r="N184" s="2" t="str">
        <f t="shared" si="12"/>
        <v>Safe</v>
      </c>
      <c r="O184" s="2" t="str">
        <f t="shared" si="13"/>
        <v>Safe</v>
      </c>
      <c r="P184" s="2" t="str">
        <f t="shared" si="14"/>
        <v>Contaminated</v>
      </c>
    </row>
    <row r="185" spans="1:16" x14ac:dyDescent="0.35">
      <c r="A185" s="2" t="s">
        <v>194</v>
      </c>
      <c r="B185" s="3">
        <v>44777</v>
      </c>
      <c r="C185" s="3" t="str">
        <f t="shared" si="10"/>
        <v>Aug</v>
      </c>
      <c r="D185" s="2" t="s">
        <v>316</v>
      </c>
      <c r="E185" s="2" t="s">
        <v>312</v>
      </c>
      <c r="F185" s="2">
        <v>6</v>
      </c>
      <c r="G185" s="2">
        <v>930</v>
      </c>
      <c r="H185" s="2">
        <v>653</v>
      </c>
      <c r="I185" s="2">
        <v>194</v>
      </c>
      <c r="J185" s="2">
        <v>51</v>
      </c>
      <c r="K185" s="2">
        <v>3.0000000000000001E-3</v>
      </c>
      <c r="L185" s="2">
        <v>26</v>
      </c>
      <c r="M185" s="2" t="str">
        <f t="shared" si="11"/>
        <v>Unsafe</v>
      </c>
      <c r="N185" s="2" t="str">
        <f t="shared" si="12"/>
        <v>Unsafe</v>
      </c>
      <c r="O185" s="2" t="str">
        <f t="shared" si="13"/>
        <v>Safe</v>
      </c>
      <c r="P185" s="2" t="str">
        <f t="shared" si="14"/>
        <v>Contaminated</v>
      </c>
    </row>
    <row r="186" spans="1:16" x14ac:dyDescent="0.35">
      <c r="A186" s="2" t="s">
        <v>195</v>
      </c>
      <c r="B186" s="3">
        <v>44672</v>
      </c>
      <c r="C186" s="3" t="str">
        <f t="shared" si="10"/>
        <v>Apr</v>
      </c>
      <c r="D186" s="2" t="s">
        <v>311</v>
      </c>
      <c r="E186" s="2" t="s">
        <v>312</v>
      </c>
      <c r="F186" s="2">
        <v>8.4</v>
      </c>
      <c r="G186" s="2">
        <v>384</v>
      </c>
      <c r="H186" s="2">
        <v>821</v>
      </c>
      <c r="I186" s="2">
        <v>263</v>
      </c>
      <c r="J186" s="2">
        <v>13</v>
      </c>
      <c r="K186" s="2">
        <v>5.0000000000000001E-3</v>
      </c>
      <c r="L186" s="2">
        <v>10</v>
      </c>
      <c r="M186" s="2" t="str">
        <f t="shared" si="11"/>
        <v>Safe</v>
      </c>
      <c r="N186" s="2" t="str">
        <f t="shared" si="12"/>
        <v>Safe</v>
      </c>
      <c r="O186" s="2" t="str">
        <f t="shared" si="13"/>
        <v>Safe</v>
      </c>
      <c r="P186" s="2" t="str">
        <f t="shared" si="14"/>
        <v>Safe</v>
      </c>
    </row>
    <row r="187" spans="1:16" x14ac:dyDescent="0.35">
      <c r="A187" s="2" t="s">
        <v>196</v>
      </c>
      <c r="B187" s="3">
        <v>44700</v>
      </c>
      <c r="C187" s="3" t="str">
        <f t="shared" si="10"/>
        <v>May</v>
      </c>
      <c r="D187" s="2" t="s">
        <v>314</v>
      </c>
      <c r="E187" s="2" t="s">
        <v>312</v>
      </c>
      <c r="F187" s="2">
        <v>6.1</v>
      </c>
      <c r="G187" s="2">
        <v>1351</v>
      </c>
      <c r="H187" s="2">
        <v>693</v>
      </c>
      <c r="I187" s="2">
        <v>117</v>
      </c>
      <c r="J187" s="2">
        <v>74</v>
      </c>
      <c r="K187" s="2">
        <v>1.0999999999999999E-2</v>
      </c>
      <c r="L187" s="2">
        <v>17</v>
      </c>
      <c r="M187" s="2" t="str">
        <f t="shared" si="11"/>
        <v>Unsafe</v>
      </c>
      <c r="N187" s="2" t="str">
        <f t="shared" si="12"/>
        <v>Unsafe</v>
      </c>
      <c r="O187" s="2" t="str">
        <f t="shared" si="13"/>
        <v>Unsafe</v>
      </c>
      <c r="P187" s="2" t="str">
        <f t="shared" si="14"/>
        <v>Contaminated</v>
      </c>
    </row>
    <row r="188" spans="1:16" x14ac:dyDescent="0.35">
      <c r="A188" s="2" t="s">
        <v>197</v>
      </c>
      <c r="B188" s="3">
        <v>44828</v>
      </c>
      <c r="C188" s="3" t="str">
        <f t="shared" si="10"/>
        <v>Sep</v>
      </c>
      <c r="D188" s="2" t="s">
        <v>313</v>
      </c>
      <c r="E188" s="2" t="s">
        <v>315</v>
      </c>
      <c r="F188" s="2">
        <v>8.1</v>
      </c>
      <c r="G188" s="2">
        <v>796</v>
      </c>
      <c r="H188" s="2">
        <v>189</v>
      </c>
      <c r="I188" s="2">
        <v>103</v>
      </c>
      <c r="J188" s="2">
        <v>16</v>
      </c>
      <c r="K188" s="2">
        <v>1.6E-2</v>
      </c>
      <c r="L188" s="2">
        <v>34</v>
      </c>
      <c r="M188" s="2" t="str">
        <f t="shared" si="11"/>
        <v>Safe</v>
      </c>
      <c r="N188" s="2" t="str">
        <f t="shared" si="12"/>
        <v>Safe</v>
      </c>
      <c r="O188" s="2" t="str">
        <f t="shared" si="13"/>
        <v>Unsafe</v>
      </c>
      <c r="P188" s="2" t="str">
        <f t="shared" si="14"/>
        <v>Contaminated</v>
      </c>
    </row>
    <row r="189" spans="1:16" x14ac:dyDescent="0.35">
      <c r="A189" s="2" t="s">
        <v>198</v>
      </c>
      <c r="B189" s="3">
        <v>44783</v>
      </c>
      <c r="C189" s="3" t="str">
        <f t="shared" si="10"/>
        <v>Aug</v>
      </c>
      <c r="D189" s="2" t="s">
        <v>311</v>
      </c>
      <c r="E189" s="2" t="s">
        <v>315</v>
      </c>
      <c r="F189" s="2">
        <v>7.6</v>
      </c>
      <c r="G189" s="2">
        <v>623</v>
      </c>
      <c r="H189" s="2">
        <v>241</v>
      </c>
      <c r="I189" s="2">
        <v>113</v>
      </c>
      <c r="J189" s="2">
        <v>45</v>
      </c>
      <c r="K189" s="2">
        <v>1.2999999999999999E-2</v>
      </c>
      <c r="L189" s="2">
        <v>34</v>
      </c>
      <c r="M189" s="2" t="str">
        <f t="shared" si="11"/>
        <v>Safe</v>
      </c>
      <c r="N189" s="2" t="str">
        <f t="shared" si="12"/>
        <v>Safe</v>
      </c>
      <c r="O189" s="2" t="str">
        <f t="shared" si="13"/>
        <v>Unsafe</v>
      </c>
      <c r="P189" s="2" t="str">
        <f t="shared" si="14"/>
        <v>Contaminated</v>
      </c>
    </row>
    <row r="190" spans="1:16" x14ac:dyDescent="0.35">
      <c r="A190" s="2" t="s">
        <v>199</v>
      </c>
      <c r="B190" s="3">
        <v>44841</v>
      </c>
      <c r="C190" s="3" t="str">
        <f t="shared" si="10"/>
        <v>Oct</v>
      </c>
      <c r="D190" s="2" t="s">
        <v>316</v>
      </c>
      <c r="E190" s="2" t="s">
        <v>312</v>
      </c>
      <c r="F190" s="2">
        <v>8.8000000000000007</v>
      </c>
      <c r="G190" s="2">
        <v>710</v>
      </c>
      <c r="H190" s="2">
        <v>606</v>
      </c>
      <c r="I190" s="2">
        <v>95</v>
      </c>
      <c r="J190" s="2">
        <v>32</v>
      </c>
      <c r="K190" s="2">
        <v>1.6E-2</v>
      </c>
      <c r="L190" s="2">
        <v>23</v>
      </c>
      <c r="M190" s="2" t="str">
        <f t="shared" si="11"/>
        <v>Unsafe</v>
      </c>
      <c r="N190" s="2" t="str">
        <f t="shared" si="12"/>
        <v>Safe</v>
      </c>
      <c r="O190" s="2" t="str">
        <f t="shared" si="13"/>
        <v>Unsafe</v>
      </c>
      <c r="P190" s="2" t="str">
        <f t="shared" si="14"/>
        <v>Contaminated</v>
      </c>
    </row>
    <row r="191" spans="1:16" x14ac:dyDescent="0.35">
      <c r="A191" s="2" t="s">
        <v>200</v>
      </c>
      <c r="B191" s="3">
        <v>44566</v>
      </c>
      <c r="C191" s="3" t="str">
        <f t="shared" si="10"/>
        <v>Jan</v>
      </c>
      <c r="D191" s="2" t="s">
        <v>311</v>
      </c>
      <c r="E191" s="2" t="s">
        <v>312</v>
      </c>
      <c r="F191" s="2">
        <v>8</v>
      </c>
      <c r="G191" s="2">
        <v>1131</v>
      </c>
      <c r="H191" s="2">
        <v>703</v>
      </c>
      <c r="I191" s="2">
        <v>375</v>
      </c>
      <c r="J191" s="2">
        <v>10</v>
      </c>
      <c r="K191" s="2">
        <v>2E-3</v>
      </c>
      <c r="L191" s="2">
        <v>35</v>
      </c>
      <c r="M191" s="2" t="str">
        <f t="shared" si="11"/>
        <v>Safe</v>
      </c>
      <c r="N191" s="2" t="str">
        <f t="shared" si="12"/>
        <v>Safe</v>
      </c>
      <c r="O191" s="2" t="str">
        <f t="shared" si="13"/>
        <v>Safe</v>
      </c>
      <c r="P191" s="2" t="str">
        <f t="shared" si="14"/>
        <v>Safe</v>
      </c>
    </row>
    <row r="192" spans="1:16" x14ac:dyDescent="0.35">
      <c r="A192" s="2" t="s">
        <v>201</v>
      </c>
      <c r="B192" s="3">
        <v>44675</v>
      </c>
      <c r="C192" s="3" t="str">
        <f t="shared" si="10"/>
        <v>Apr</v>
      </c>
      <c r="D192" s="2" t="s">
        <v>317</v>
      </c>
      <c r="E192" s="2" t="s">
        <v>315</v>
      </c>
      <c r="F192" s="2">
        <v>7.5</v>
      </c>
      <c r="G192" s="2">
        <v>707</v>
      </c>
      <c r="H192" s="2">
        <v>788</v>
      </c>
      <c r="I192" s="2">
        <v>87</v>
      </c>
      <c r="J192" s="2">
        <v>63</v>
      </c>
      <c r="K192" s="2">
        <v>1.6E-2</v>
      </c>
      <c r="L192" s="2">
        <v>28</v>
      </c>
      <c r="M192" s="2" t="str">
        <f t="shared" si="11"/>
        <v>Safe</v>
      </c>
      <c r="N192" s="2" t="str">
        <f t="shared" si="12"/>
        <v>Unsafe</v>
      </c>
      <c r="O192" s="2" t="str">
        <f t="shared" si="13"/>
        <v>Unsafe</v>
      </c>
      <c r="P192" s="2" t="str">
        <f t="shared" si="14"/>
        <v>Contaminated</v>
      </c>
    </row>
    <row r="193" spans="1:16" x14ac:dyDescent="0.35">
      <c r="A193" s="2" t="s">
        <v>202</v>
      </c>
      <c r="B193" s="3">
        <v>44738</v>
      </c>
      <c r="C193" s="3" t="str">
        <f t="shared" si="10"/>
        <v>Jun</v>
      </c>
      <c r="D193" s="2" t="s">
        <v>316</v>
      </c>
      <c r="E193" s="2" t="s">
        <v>315</v>
      </c>
      <c r="F193" s="2">
        <v>7.9</v>
      </c>
      <c r="G193" s="2">
        <v>773</v>
      </c>
      <c r="H193" s="2">
        <v>927</v>
      </c>
      <c r="I193" s="2">
        <v>132</v>
      </c>
      <c r="J193" s="2">
        <v>4</v>
      </c>
      <c r="K193" s="2">
        <v>0.01</v>
      </c>
      <c r="L193" s="2">
        <v>16</v>
      </c>
      <c r="M193" s="2" t="str">
        <f t="shared" si="11"/>
        <v>Safe</v>
      </c>
      <c r="N193" s="2" t="str">
        <f t="shared" si="12"/>
        <v>Safe</v>
      </c>
      <c r="O193" s="2" t="str">
        <f t="shared" si="13"/>
        <v>Safe</v>
      </c>
      <c r="P193" s="2" t="str">
        <f t="shared" si="14"/>
        <v>Safe</v>
      </c>
    </row>
    <row r="194" spans="1:16" x14ac:dyDescent="0.35">
      <c r="A194" s="2" t="s">
        <v>203</v>
      </c>
      <c r="B194" s="3">
        <v>44856</v>
      </c>
      <c r="C194" s="3" t="str">
        <f t="shared" si="10"/>
        <v>Oct</v>
      </c>
      <c r="D194" s="2" t="s">
        <v>314</v>
      </c>
      <c r="E194" s="2" t="s">
        <v>315</v>
      </c>
      <c r="F194" s="2">
        <v>8.5</v>
      </c>
      <c r="G194" s="2">
        <v>1038</v>
      </c>
      <c r="H194" s="2">
        <v>179</v>
      </c>
      <c r="I194" s="2">
        <v>335</v>
      </c>
      <c r="J194" s="2">
        <v>69</v>
      </c>
      <c r="K194" s="2">
        <v>1.6E-2</v>
      </c>
      <c r="L194" s="2">
        <v>14</v>
      </c>
      <c r="M194" s="2" t="str">
        <f t="shared" si="11"/>
        <v>Safe</v>
      </c>
      <c r="N194" s="2" t="str">
        <f t="shared" si="12"/>
        <v>Unsafe</v>
      </c>
      <c r="O194" s="2" t="str">
        <f t="shared" si="13"/>
        <v>Unsafe</v>
      </c>
      <c r="P194" s="2" t="str">
        <f t="shared" si="14"/>
        <v>Contaminated</v>
      </c>
    </row>
    <row r="195" spans="1:16" x14ac:dyDescent="0.35">
      <c r="A195" s="2" t="s">
        <v>204</v>
      </c>
      <c r="B195" s="3">
        <v>44579</v>
      </c>
      <c r="C195" s="3" t="str">
        <f t="shared" ref="C195:C258" si="15">TEXT(B195,"mmm")</f>
        <v>Jan</v>
      </c>
      <c r="D195" s="2" t="s">
        <v>311</v>
      </c>
      <c r="E195" s="2" t="s">
        <v>315</v>
      </c>
      <c r="F195" s="2">
        <v>8</v>
      </c>
      <c r="G195" s="2">
        <v>1335</v>
      </c>
      <c r="H195" s="2">
        <v>1125</v>
      </c>
      <c r="I195" s="2">
        <v>253</v>
      </c>
      <c r="J195" s="2">
        <v>1</v>
      </c>
      <c r="K195" s="2">
        <v>1E-3</v>
      </c>
      <c r="L195" s="2">
        <v>34</v>
      </c>
      <c r="M195" s="2" t="str">
        <f t="shared" ref="M195:M258" si="16">IF(OR(F195&lt;6.5,F195&gt;8.5),"Unsafe","Safe")</f>
        <v>Safe</v>
      </c>
      <c r="N195" s="2" t="str">
        <f t="shared" ref="N195:N258" si="17">IF(J195&gt;50,"Unsafe","Safe")</f>
        <v>Safe</v>
      </c>
      <c r="O195" s="2" t="str">
        <f t="shared" ref="O195:O258" si="18">IF(K195&gt;0.01,"Unsafe","Safe")</f>
        <v>Safe</v>
      </c>
      <c r="P195" s="2" t="str">
        <f t="shared" ref="P195:P258" si="19">IF(OR(M195="Unsafe",N195="Unsafe",O195="Unsafe"),"Contaminated","Safe")</f>
        <v>Safe</v>
      </c>
    </row>
    <row r="196" spans="1:16" x14ac:dyDescent="0.35">
      <c r="A196" s="2" t="s">
        <v>205</v>
      </c>
      <c r="B196" s="3">
        <v>44663</v>
      </c>
      <c r="C196" s="3" t="str">
        <f t="shared" si="15"/>
        <v>Apr</v>
      </c>
      <c r="D196" s="2" t="s">
        <v>317</v>
      </c>
      <c r="E196" s="2" t="s">
        <v>315</v>
      </c>
      <c r="F196" s="2">
        <v>7.5</v>
      </c>
      <c r="G196" s="2">
        <v>1249</v>
      </c>
      <c r="H196" s="2">
        <v>1179</v>
      </c>
      <c r="I196" s="2">
        <v>272</v>
      </c>
      <c r="J196" s="2">
        <v>19</v>
      </c>
      <c r="K196" s="2">
        <v>5.0000000000000001E-3</v>
      </c>
      <c r="L196" s="2">
        <v>30</v>
      </c>
      <c r="M196" s="2" t="str">
        <f t="shared" si="16"/>
        <v>Safe</v>
      </c>
      <c r="N196" s="2" t="str">
        <f t="shared" si="17"/>
        <v>Safe</v>
      </c>
      <c r="O196" s="2" t="str">
        <f t="shared" si="18"/>
        <v>Safe</v>
      </c>
      <c r="P196" s="2" t="str">
        <f t="shared" si="19"/>
        <v>Safe</v>
      </c>
    </row>
    <row r="197" spans="1:16" x14ac:dyDescent="0.35">
      <c r="A197" s="2" t="s">
        <v>206</v>
      </c>
      <c r="B197" s="3">
        <v>44794</v>
      </c>
      <c r="C197" s="3" t="str">
        <f t="shared" si="15"/>
        <v>Aug</v>
      </c>
      <c r="D197" s="2" t="s">
        <v>311</v>
      </c>
      <c r="E197" s="2" t="s">
        <v>312</v>
      </c>
      <c r="F197" s="2">
        <v>6.2</v>
      </c>
      <c r="G197" s="2">
        <v>1485</v>
      </c>
      <c r="H197" s="2">
        <v>791</v>
      </c>
      <c r="I197" s="2">
        <v>386</v>
      </c>
      <c r="J197" s="2">
        <v>43</v>
      </c>
      <c r="K197" s="2">
        <v>2E-3</v>
      </c>
      <c r="L197" s="2">
        <v>22</v>
      </c>
      <c r="M197" s="2" t="str">
        <f t="shared" si="16"/>
        <v>Unsafe</v>
      </c>
      <c r="N197" s="2" t="str">
        <f t="shared" si="17"/>
        <v>Safe</v>
      </c>
      <c r="O197" s="2" t="str">
        <f t="shared" si="18"/>
        <v>Safe</v>
      </c>
      <c r="P197" s="2" t="str">
        <f t="shared" si="19"/>
        <v>Contaminated</v>
      </c>
    </row>
    <row r="198" spans="1:16" x14ac:dyDescent="0.35">
      <c r="A198" s="2" t="s">
        <v>207</v>
      </c>
      <c r="B198" s="3">
        <v>44893</v>
      </c>
      <c r="C198" s="3" t="str">
        <f t="shared" si="15"/>
        <v>Nov</v>
      </c>
      <c r="D198" s="2" t="s">
        <v>311</v>
      </c>
      <c r="E198" s="2" t="s">
        <v>318</v>
      </c>
      <c r="F198" s="2">
        <v>8</v>
      </c>
      <c r="G198" s="2">
        <v>951</v>
      </c>
      <c r="H198" s="2">
        <v>574</v>
      </c>
      <c r="I198" s="2">
        <v>316</v>
      </c>
      <c r="J198" s="2">
        <v>79</v>
      </c>
      <c r="K198" s="2">
        <v>0</v>
      </c>
      <c r="L198" s="2">
        <v>16</v>
      </c>
      <c r="M198" s="2" t="str">
        <f t="shared" si="16"/>
        <v>Safe</v>
      </c>
      <c r="N198" s="2" t="str">
        <f t="shared" si="17"/>
        <v>Unsafe</v>
      </c>
      <c r="O198" s="2" t="str">
        <f t="shared" si="18"/>
        <v>Safe</v>
      </c>
      <c r="P198" s="2" t="str">
        <f t="shared" si="19"/>
        <v>Contaminated</v>
      </c>
    </row>
    <row r="199" spans="1:16" x14ac:dyDescent="0.35">
      <c r="A199" s="2" t="s">
        <v>208</v>
      </c>
      <c r="B199" s="3">
        <v>44891</v>
      </c>
      <c r="C199" s="3" t="str">
        <f t="shared" si="15"/>
        <v>Nov</v>
      </c>
      <c r="D199" s="2" t="s">
        <v>317</v>
      </c>
      <c r="E199" s="2" t="s">
        <v>318</v>
      </c>
      <c r="F199" s="2">
        <v>8.3000000000000007</v>
      </c>
      <c r="G199" s="2">
        <v>1581</v>
      </c>
      <c r="H199" s="2">
        <v>456</v>
      </c>
      <c r="I199" s="2">
        <v>151</v>
      </c>
      <c r="J199" s="2">
        <v>38</v>
      </c>
      <c r="K199" s="2">
        <v>1.2999999999999999E-2</v>
      </c>
      <c r="L199" s="2">
        <v>21</v>
      </c>
      <c r="M199" s="2" t="str">
        <f t="shared" si="16"/>
        <v>Safe</v>
      </c>
      <c r="N199" s="2" t="str">
        <f t="shared" si="17"/>
        <v>Safe</v>
      </c>
      <c r="O199" s="2" t="str">
        <f t="shared" si="18"/>
        <v>Unsafe</v>
      </c>
      <c r="P199" s="2" t="str">
        <f t="shared" si="19"/>
        <v>Contaminated</v>
      </c>
    </row>
    <row r="200" spans="1:16" x14ac:dyDescent="0.35">
      <c r="A200" s="2" t="s">
        <v>209</v>
      </c>
      <c r="B200" s="3">
        <v>44801</v>
      </c>
      <c r="C200" s="3" t="str">
        <f t="shared" si="15"/>
        <v>Aug</v>
      </c>
      <c r="D200" s="2" t="s">
        <v>314</v>
      </c>
      <c r="E200" s="2" t="s">
        <v>315</v>
      </c>
      <c r="F200" s="2">
        <v>6.5</v>
      </c>
      <c r="G200" s="2">
        <v>1559</v>
      </c>
      <c r="H200" s="2">
        <v>464</v>
      </c>
      <c r="I200" s="2">
        <v>173</v>
      </c>
      <c r="J200" s="2">
        <v>64</v>
      </c>
      <c r="K200" s="2">
        <v>1.4999999999999999E-2</v>
      </c>
      <c r="L200" s="2">
        <v>35</v>
      </c>
      <c r="M200" s="2" t="str">
        <f t="shared" si="16"/>
        <v>Safe</v>
      </c>
      <c r="N200" s="2" t="str">
        <f t="shared" si="17"/>
        <v>Unsafe</v>
      </c>
      <c r="O200" s="2" t="str">
        <f t="shared" si="18"/>
        <v>Unsafe</v>
      </c>
      <c r="P200" s="2" t="str">
        <f t="shared" si="19"/>
        <v>Contaminated</v>
      </c>
    </row>
    <row r="201" spans="1:16" x14ac:dyDescent="0.35">
      <c r="A201" s="2" t="s">
        <v>210</v>
      </c>
      <c r="B201" s="3">
        <v>44767</v>
      </c>
      <c r="C201" s="3" t="str">
        <f t="shared" si="15"/>
        <v>Jul</v>
      </c>
      <c r="D201" s="2" t="s">
        <v>313</v>
      </c>
      <c r="E201" s="2" t="s">
        <v>312</v>
      </c>
      <c r="F201" s="2">
        <v>8.9</v>
      </c>
      <c r="G201" s="2">
        <v>956</v>
      </c>
      <c r="H201" s="2">
        <v>396</v>
      </c>
      <c r="I201" s="2">
        <v>63</v>
      </c>
      <c r="J201" s="2">
        <v>67</v>
      </c>
      <c r="K201" s="2">
        <v>4.0000000000000001E-3</v>
      </c>
      <c r="L201" s="2">
        <v>24</v>
      </c>
      <c r="M201" s="2" t="str">
        <f t="shared" si="16"/>
        <v>Unsafe</v>
      </c>
      <c r="N201" s="2" t="str">
        <f t="shared" si="17"/>
        <v>Unsafe</v>
      </c>
      <c r="O201" s="2" t="str">
        <f t="shared" si="18"/>
        <v>Safe</v>
      </c>
      <c r="P201" s="2" t="str">
        <f t="shared" si="19"/>
        <v>Contaminated</v>
      </c>
    </row>
    <row r="202" spans="1:16" x14ac:dyDescent="0.35">
      <c r="A202" s="2" t="s">
        <v>211</v>
      </c>
      <c r="B202" s="3">
        <v>44718</v>
      </c>
      <c r="C202" s="3" t="str">
        <f t="shared" si="15"/>
        <v>Jun</v>
      </c>
      <c r="D202" s="2" t="s">
        <v>314</v>
      </c>
      <c r="E202" s="2" t="s">
        <v>318</v>
      </c>
      <c r="F202" s="2">
        <v>8.1</v>
      </c>
      <c r="G202" s="2">
        <v>1073</v>
      </c>
      <c r="H202" s="2">
        <v>918</v>
      </c>
      <c r="I202" s="2">
        <v>114</v>
      </c>
      <c r="J202" s="2">
        <v>77</v>
      </c>
      <c r="K202" s="2">
        <v>1.0999999999999999E-2</v>
      </c>
      <c r="L202" s="2">
        <v>29</v>
      </c>
      <c r="M202" s="2" t="str">
        <f t="shared" si="16"/>
        <v>Safe</v>
      </c>
      <c r="N202" s="2" t="str">
        <f t="shared" si="17"/>
        <v>Unsafe</v>
      </c>
      <c r="O202" s="2" t="str">
        <f t="shared" si="18"/>
        <v>Unsafe</v>
      </c>
      <c r="P202" s="2" t="str">
        <f t="shared" si="19"/>
        <v>Contaminated</v>
      </c>
    </row>
    <row r="203" spans="1:16" x14ac:dyDescent="0.35">
      <c r="A203" s="2" t="s">
        <v>212</v>
      </c>
      <c r="B203" s="3">
        <v>44718</v>
      </c>
      <c r="C203" s="3" t="str">
        <f t="shared" si="15"/>
        <v>Jun</v>
      </c>
      <c r="D203" s="2" t="s">
        <v>317</v>
      </c>
      <c r="E203" s="2" t="s">
        <v>312</v>
      </c>
      <c r="F203" s="2">
        <v>8.4</v>
      </c>
      <c r="G203" s="2">
        <v>308</v>
      </c>
      <c r="H203" s="2">
        <v>925</v>
      </c>
      <c r="I203" s="2">
        <v>280</v>
      </c>
      <c r="J203" s="2">
        <v>19</v>
      </c>
      <c r="K203" s="2">
        <v>4.0000000000000001E-3</v>
      </c>
      <c r="L203" s="2">
        <v>33</v>
      </c>
      <c r="M203" s="2" t="str">
        <f t="shared" si="16"/>
        <v>Safe</v>
      </c>
      <c r="N203" s="2" t="str">
        <f t="shared" si="17"/>
        <v>Safe</v>
      </c>
      <c r="O203" s="2" t="str">
        <f t="shared" si="18"/>
        <v>Safe</v>
      </c>
      <c r="P203" s="2" t="str">
        <f t="shared" si="19"/>
        <v>Safe</v>
      </c>
    </row>
    <row r="204" spans="1:16" x14ac:dyDescent="0.35">
      <c r="A204" s="2" t="s">
        <v>213</v>
      </c>
      <c r="B204" s="3">
        <v>44870</v>
      </c>
      <c r="C204" s="3" t="str">
        <f t="shared" si="15"/>
        <v>Nov</v>
      </c>
      <c r="D204" s="2" t="s">
        <v>311</v>
      </c>
      <c r="E204" s="2" t="s">
        <v>318</v>
      </c>
      <c r="F204" s="2">
        <v>7.2</v>
      </c>
      <c r="G204" s="2">
        <v>369</v>
      </c>
      <c r="H204" s="2">
        <v>1127</v>
      </c>
      <c r="I204" s="2">
        <v>148</v>
      </c>
      <c r="J204" s="2">
        <v>73</v>
      </c>
      <c r="K204" s="2">
        <v>6.0000000000000001E-3</v>
      </c>
      <c r="L204" s="2">
        <v>18</v>
      </c>
      <c r="M204" s="2" t="str">
        <f t="shared" si="16"/>
        <v>Safe</v>
      </c>
      <c r="N204" s="2" t="str">
        <f t="shared" si="17"/>
        <v>Unsafe</v>
      </c>
      <c r="O204" s="2" t="str">
        <f t="shared" si="18"/>
        <v>Safe</v>
      </c>
      <c r="P204" s="2" t="str">
        <f t="shared" si="19"/>
        <v>Contaminated</v>
      </c>
    </row>
    <row r="205" spans="1:16" x14ac:dyDescent="0.35">
      <c r="A205" s="2" t="s">
        <v>214</v>
      </c>
      <c r="B205" s="3">
        <v>44822</v>
      </c>
      <c r="C205" s="3" t="str">
        <f t="shared" si="15"/>
        <v>Sep</v>
      </c>
      <c r="D205" s="2" t="s">
        <v>313</v>
      </c>
      <c r="E205" s="2" t="s">
        <v>315</v>
      </c>
      <c r="F205" s="2">
        <v>6.3</v>
      </c>
      <c r="G205" s="2">
        <v>1796</v>
      </c>
      <c r="H205" s="2">
        <v>539</v>
      </c>
      <c r="I205" s="2">
        <v>318</v>
      </c>
      <c r="J205" s="2">
        <v>54</v>
      </c>
      <c r="K205" s="2">
        <v>8.9999999999999993E-3</v>
      </c>
      <c r="L205" s="2">
        <v>15</v>
      </c>
      <c r="M205" s="2" t="str">
        <f t="shared" si="16"/>
        <v>Unsafe</v>
      </c>
      <c r="N205" s="2" t="str">
        <f t="shared" si="17"/>
        <v>Unsafe</v>
      </c>
      <c r="O205" s="2" t="str">
        <f t="shared" si="18"/>
        <v>Safe</v>
      </c>
      <c r="P205" s="2" t="str">
        <f t="shared" si="19"/>
        <v>Contaminated</v>
      </c>
    </row>
    <row r="206" spans="1:16" x14ac:dyDescent="0.35">
      <c r="A206" s="2" t="s">
        <v>215</v>
      </c>
      <c r="B206" s="3">
        <v>44827</v>
      </c>
      <c r="C206" s="3" t="str">
        <f t="shared" si="15"/>
        <v>Sep</v>
      </c>
      <c r="D206" s="2" t="s">
        <v>314</v>
      </c>
      <c r="E206" s="2" t="s">
        <v>312</v>
      </c>
      <c r="F206" s="2">
        <v>7.9</v>
      </c>
      <c r="G206" s="2">
        <v>475</v>
      </c>
      <c r="H206" s="2">
        <v>559</v>
      </c>
      <c r="I206" s="2">
        <v>310</v>
      </c>
      <c r="J206" s="2">
        <v>43</v>
      </c>
      <c r="K206" s="2">
        <v>1E-3</v>
      </c>
      <c r="L206" s="2">
        <v>22</v>
      </c>
      <c r="M206" s="2" t="str">
        <f t="shared" si="16"/>
        <v>Safe</v>
      </c>
      <c r="N206" s="2" t="str">
        <f t="shared" si="17"/>
        <v>Safe</v>
      </c>
      <c r="O206" s="2" t="str">
        <f t="shared" si="18"/>
        <v>Safe</v>
      </c>
      <c r="P206" s="2" t="str">
        <f t="shared" si="19"/>
        <v>Safe</v>
      </c>
    </row>
    <row r="207" spans="1:16" x14ac:dyDescent="0.35">
      <c r="A207" s="2" t="s">
        <v>216</v>
      </c>
      <c r="B207" s="3">
        <v>44745</v>
      </c>
      <c r="C207" s="3" t="str">
        <f t="shared" si="15"/>
        <v>Jul</v>
      </c>
      <c r="D207" s="2" t="s">
        <v>313</v>
      </c>
      <c r="E207" s="2" t="s">
        <v>315</v>
      </c>
      <c r="F207" s="2">
        <v>7.6</v>
      </c>
      <c r="G207" s="2">
        <v>1259</v>
      </c>
      <c r="H207" s="2">
        <v>727</v>
      </c>
      <c r="I207" s="2">
        <v>395</v>
      </c>
      <c r="J207" s="2">
        <v>33</v>
      </c>
      <c r="K207" s="2">
        <v>1.7999999999999999E-2</v>
      </c>
      <c r="L207" s="2">
        <v>16</v>
      </c>
      <c r="M207" s="2" t="str">
        <f t="shared" si="16"/>
        <v>Safe</v>
      </c>
      <c r="N207" s="2" t="str">
        <f t="shared" si="17"/>
        <v>Safe</v>
      </c>
      <c r="O207" s="2" t="str">
        <f t="shared" si="18"/>
        <v>Unsafe</v>
      </c>
      <c r="P207" s="2" t="str">
        <f t="shared" si="19"/>
        <v>Contaminated</v>
      </c>
    </row>
    <row r="208" spans="1:16" x14ac:dyDescent="0.35">
      <c r="A208" s="2" t="s">
        <v>217</v>
      </c>
      <c r="B208" s="3">
        <v>44796</v>
      </c>
      <c r="C208" s="3" t="str">
        <f t="shared" si="15"/>
        <v>Aug</v>
      </c>
      <c r="D208" s="2" t="s">
        <v>316</v>
      </c>
      <c r="E208" s="2" t="s">
        <v>312</v>
      </c>
      <c r="F208" s="2">
        <v>7.5</v>
      </c>
      <c r="G208" s="2">
        <v>838</v>
      </c>
      <c r="H208" s="2">
        <v>540</v>
      </c>
      <c r="I208" s="2">
        <v>186</v>
      </c>
      <c r="J208" s="2">
        <v>25</v>
      </c>
      <c r="K208" s="2">
        <v>1.9E-2</v>
      </c>
      <c r="L208" s="2">
        <v>24</v>
      </c>
      <c r="M208" s="2" t="str">
        <f t="shared" si="16"/>
        <v>Safe</v>
      </c>
      <c r="N208" s="2" t="str">
        <f t="shared" si="17"/>
        <v>Safe</v>
      </c>
      <c r="O208" s="2" t="str">
        <f t="shared" si="18"/>
        <v>Unsafe</v>
      </c>
      <c r="P208" s="2" t="str">
        <f t="shared" si="19"/>
        <v>Contaminated</v>
      </c>
    </row>
    <row r="209" spans="1:16" x14ac:dyDescent="0.35">
      <c r="A209" s="2" t="s">
        <v>218</v>
      </c>
      <c r="B209" s="3">
        <v>44762</v>
      </c>
      <c r="C209" s="3" t="str">
        <f t="shared" si="15"/>
        <v>Jul</v>
      </c>
      <c r="D209" s="2" t="s">
        <v>314</v>
      </c>
      <c r="E209" s="2" t="s">
        <v>312</v>
      </c>
      <c r="F209" s="2">
        <v>8.5</v>
      </c>
      <c r="G209" s="2">
        <v>1680</v>
      </c>
      <c r="H209" s="2">
        <v>351</v>
      </c>
      <c r="I209" s="2">
        <v>83</v>
      </c>
      <c r="J209" s="2">
        <v>5</v>
      </c>
      <c r="K209" s="2">
        <v>1.6E-2</v>
      </c>
      <c r="L209" s="2">
        <v>16</v>
      </c>
      <c r="M209" s="2" t="str">
        <f t="shared" si="16"/>
        <v>Safe</v>
      </c>
      <c r="N209" s="2" t="str">
        <f t="shared" si="17"/>
        <v>Safe</v>
      </c>
      <c r="O209" s="2" t="str">
        <f t="shared" si="18"/>
        <v>Unsafe</v>
      </c>
      <c r="P209" s="2" t="str">
        <f t="shared" si="19"/>
        <v>Contaminated</v>
      </c>
    </row>
    <row r="210" spans="1:16" x14ac:dyDescent="0.35">
      <c r="A210" s="2" t="s">
        <v>219</v>
      </c>
      <c r="B210" s="3">
        <v>44577</v>
      </c>
      <c r="C210" s="3" t="str">
        <f t="shared" si="15"/>
        <v>Jan</v>
      </c>
      <c r="D210" s="2" t="s">
        <v>317</v>
      </c>
      <c r="E210" s="2" t="s">
        <v>312</v>
      </c>
      <c r="F210" s="2">
        <v>6.1</v>
      </c>
      <c r="G210" s="2">
        <v>1164</v>
      </c>
      <c r="H210" s="2">
        <v>272</v>
      </c>
      <c r="I210" s="2">
        <v>106</v>
      </c>
      <c r="J210" s="2">
        <v>19</v>
      </c>
      <c r="K210" s="2">
        <v>1.2E-2</v>
      </c>
      <c r="L210" s="2">
        <v>32</v>
      </c>
      <c r="M210" s="2" t="str">
        <f t="shared" si="16"/>
        <v>Unsafe</v>
      </c>
      <c r="N210" s="2" t="str">
        <f t="shared" si="17"/>
        <v>Safe</v>
      </c>
      <c r="O210" s="2" t="str">
        <f t="shared" si="18"/>
        <v>Unsafe</v>
      </c>
      <c r="P210" s="2" t="str">
        <f t="shared" si="19"/>
        <v>Contaminated</v>
      </c>
    </row>
    <row r="211" spans="1:16" x14ac:dyDescent="0.35">
      <c r="A211" s="2" t="s">
        <v>220</v>
      </c>
      <c r="B211" s="3">
        <v>44860</v>
      </c>
      <c r="C211" s="3" t="str">
        <f t="shared" si="15"/>
        <v>Oct</v>
      </c>
      <c r="D211" s="2" t="s">
        <v>317</v>
      </c>
      <c r="E211" s="2" t="s">
        <v>315</v>
      </c>
      <c r="F211" s="2">
        <v>6.1</v>
      </c>
      <c r="G211" s="2">
        <v>319</v>
      </c>
      <c r="H211" s="2">
        <v>225</v>
      </c>
      <c r="I211" s="2">
        <v>238</v>
      </c>
      <c r="J211" s="2">
        <v>0</v>
      </c>
      <c r="K211" s="2">
        <v>1.2E-2</v>
      </c>
      <c r="L211" s="2">
        <v>32</v>
      </c>
      <c r="M211" s="2" t="str">
        <f t="shared" si="16"/>
        <v>Unsafe</v>
      </c>
      <c r="N211" s="2" t="str">
        <f t="shared" si="17"/>
        <v>Safe</v>
      </c>
      <c r="O211" s="2" t="str">
        <f t="shared" si="18"/>
        <v>Unsafe</v>
      </c>
      <c r="P211" s="2" t="str">
        <f t="shared" si="19"/>
        <v>Contaminated</v>
      </c>
    </row>
    <row r="212" spans="1:16" x14ac:dyDescent="0.35">
      <c r="A212" s="2" t="s">
        <v>221</v>
      </c>
      <c r="B212" s="3">
        <v>44867</v>
      </c>
      <c r="C212" s="3" t="str">
        <f t="shared" si="15"/>
        <v>Nov</v>
      </c>
      <c r="D212" s="2" t="s">
        <v>311</v>
      </c>
      <c r="E212" s="2" t="s">
        <v>315</v>
      </c>
      <c r="F212" s="2">
        <v>6.3</v>
      </c>
      <c r="G212" s="2">
        <v>211</v>
      </c>
      <c r="H212" s="2">
        <v>803</v>
      </c>
      <c r="I212" s="2">
        <v>182</v>
      </c>
      <c r="J212" s="2">
        <v>70</v>
      </c>
      <c r="K212" s="2">
        <v>8.9999999999999993E-3</v>
      </c>
      <c r="L212" s="2">
        <v>30</v>
      </c>
      <c r="M212" s="2" t="str">
        <f t="shared" si="16"/>
        <v>Unsafe</v>
      </c>
      <c r="N212" s="2" t="str">
        <f t="shared" si="17"/>
        <v>Unsafe</v>
      </c>
      <c r="O212" s="2" t="str">
        <f t="shared" si="18"/>
        <v>Safe</v>
      </c>
      <c r="P212" s="2" t="str">
        <f t="shared" si="19"/>
        <v>Contaminated</v>
      </c>
    </row>
    <row r="213" spans="1:16" x14ac:dyDescent="0.35">
      <c r="A213" s="2" t="s">
        <v>222</v>
      </c>
      <c r="B213" s="3">
        <v>44608</v>
      </c>
      <c r="C213" s="3" t="str">
        <f t="shared" si="15"/>
        <v>Feb</v>
      </c>
      <c r="D213" s="2" t="s">
        <v>314</v>
      </c>
      <c r="E213" s="2" t="s">
        <v>315</v>
      </c>
      <c r="F213" s="2">
        <v>6.8</v>
      </c>
      <c r="G213" s="2">
        <v>597</v>
      </c>
      <c r="H213" s="2">
        <v>953</v>
      </c>
      <c r="I213" s="2">
        <v>256</v>
      </c>
      <c r="J213" s="2">
        <v>53</v>
      </c>
      <c r="K213" s="2">
        <v>0.01</v>
      </c>
      <c r="L213" s="2">
        <v>19</v>
      </c>
      <c r="M213" s="2" t="str">
        <f t="shared" si="16"/>
        <v>Safe</v>
      </c>
      <c r="N213" s="2" t="str">
        <f t="shared" si="17"/>
        <v>Unsafe</v>
      </c>
      <c r="O213" s="2" t="str">
        <f t="shared" si="18"/>
        <v>Safe</v>
      </c>
      <c r="P213" s="2" t="str">
        <f t="shared" si="19"/>
        <v>Contaminated</v>
      </c>
    </row>
    <row r="214" spans="1:16" x14ac:dyDescent="0.35">
      <c r="A214" s="2" t="s">
        <v>223</v>
      </c>
      <c r="B214" s="3">
        <v>44764</v>
      </c>
      <c r="C214" s="3" t="str">
        <f t="shared" si="15"/>
        <v>Jul</v>
      </c>
      <c r="D214" s="2" t="s">
        <v>311</v>
      </c>
      <c r="E214" s="2" t="s">
        <v>315</v>
      </c>
      <c r="F214" s="2">
        <v>7.4</v>
      </c>
      <c r="G214" s="2">
        <v>1503</v>
      </c>
      <c r="H214" s="2">
        <v>1097</v>
      </c>
      <c r="I214" s="2">
        <v>128</v>
      </c>
      <c r="J214" s="2">
        <v>35</v>
      </c>
      <c r="K214" s="2">
        <v>2E-3</v>
      </c>
      <c r="L214" s="2">
        <v>33</v>
      </c>
      <c r="M214" s="2" t="str">
        <f t="shared" si="16"/>
        <v>Safe</v>
      </c>
      <c r="N214" s="2" t="str">
        <f t="shared" si="17"/>
        <v>Safe</v>
      </c>
      <c r="O214" s="2" t="str">
        <f t="shared" si="18"/>
        <v>Safe</v>
      </c>
      <c r="P214" s="2" t="str">
        <f t="shared" si="19"/>
        <v>Safe</v>
      </c>
    </row>
    <row r="215" spans="1:16" x14ac:dyDescent="0.35">
      <c r="A215" s="2" t="s">
        <v>224</v>
      </c>
      <c r="B215" s="3">
        <v>44581</v>
      </c>
      <c r="C215" s="3" t="str">
        <f t="shared" si="15"/>
        <v>Jan</v>
      </c>
      <c r="D215" s="2" t="s">
        <v>311</v>
      </c>
      <c r="E215" s="2" t="s">
        <v>312</v>
      </c>
      <c r="F215" s="2">
        <v>7.6</v>
      </c>
      <c r="G215" s="2">
        <v>286</v>
      </c>
      <c r="H215" s="2">
        <v>450</v>
      </c>
      <c r="I215" s="2">
        <v>365</v>
      </c>
      <c r="J215" s="2">
        <v>24</v>
      </c>
      <c r="K215" s="2">
        <v>5.0000000000000001E-3</v>
      </c>
      <c r="L215" s="2">
        <v>28</v>
      </c>
      <c r="M215" s="2" t="str">
        <f t="shared" si="16"/>
        <v>Safe</v>
      </c>
      <c r="N215" s="2" t="str">
        <f t="shared" si="17"/>
        <v>Safe</v>
      </c>
      <c r="O215" s="2" t="str">
        <f t="shared" si="18"/>
        <v>Safe</v>
      </c>
      <c r="P215" s="2" t="str">
        <f t="shared" si="19"/>
        <v>Safe</v>
      </c>
    </row>
    <row r="216" spans="1:16" x14ac:dyDescent="0.35">
      <c r="A216" s="2" t="s">
        <v>225</v>
      </c>
      <c r="B216" s="3">
        <v>44774</v>
      </c>
      <c r="C216" s="3" t="str">
        <f t="shared" si="15"/>
        <v>Aug</v>
      </c>
      <c r="D216" s="2" t="s">
        <v>311</v>
      </c>
      <c r="E216" s="2" t="s">
        <v>318</v>
      </c>
      <c r="F216" s="2">
        <v>8.5</v>
      </c>
      <c r="G216" s="2">
        <v>1688</v>
      </c>
      <c r="H216" s="2">
        <v>216</v>
      </c>
      <c r="I216" s="2">
        <v>122</v>
      </c>
      <c r="J216" s="2">
        <v>4</v>
      </c>
      <c r="K216" s="2">
        <v>1.2999999999999999E-2</v>
      </c>
      <c r="L216" s="2">
        <v>26</v>
      </c>
      <c r="M216" s="2" t="str">
        <f t="shared" si="16"/>
        <v>Safe</v>
      </c>
      <c r="N216" s="2" t="str">
        <f t="shared" si="17"/>
        <v>Safe</v>
      </c>
      <c r="O216" s="2" t="str">
        <f t="shared" si="18"/>
        <v>Unsafe</v>
      </c>
      <c r="P216" s="2" t="str">
        <f t="shared" si="19"/>
        <v>Contaminated</v>
      </c>
    </row>
    <row r="217" spans="1:16" x14ac:dyDescent="0.35">
      <c r="A217" s="2" t="s">
        <v>226</v>
      </c>
      <c r="B217" s="3">
        <v>44809</v>
      </c>
      <c r="C217" s="3" t="str">
        <f t="shared" si="15"/>
        <v>Sep</v>
      </c>
      <c r="D217" s="2" t="s">
        <v>311</v>
      </c>
      <c r="E217" s="2" t="s">
        <v>312</v>
      </c>
      <c r="F217" s="2">
        <v>7.7</v>
      </c>
      <c r="G217" s="2">
        <v>1311</v>
      </c>
      <c r="H217" s="2">
        <v>782</v>
      </c>
      <c r="I217" s="2">
        <v>248</v>
      </c>
      <c r="J217" s="2">
        <v>12</v>
      </c>
      <c r="K217" s="2">
        <v>1.7999999999999999E-2</v>
      </c>
      <c r="L217" s="2">
        <v>24</v>
      </c>
      <c r="M217" s="2" t="str">
        <f t="shared" si="16"/>
        <v>Safe</v>
      </c>
      <c r="N217" s="2" t="str">
        <f t="shared" si="17"/>
        <v>Safe</v>
      </c>
      <c r="O217" s="2" t="str">
        <f t="shared" si="18"/>
        <v>Unsafe</v>
      </c>
      <c r="P217" s="2" t="str">
        <f t="shared" si="19"/>
        <v>Contaminated</v>
      </c>
    </row>
    <row r="218" spans="1:16" x14ac:dyDescent="0.35">
      <c r="A218" s="2" t="s">
        <v>227</v>
      </c>
      <c r="B218" s="3">
        <v>44850</v>
      </c>
      <c r="C218" s="3" t="str">
        <f t="shared" si="15"/>
        <v>Oct</v>
      </c>
      <c r="D218" s="2" t="s">
        <v>314</v>
      </c>
      <c r="E218" s="2" t="s">
        <v>312</v>
      </c>
      <c r="F218" s="2">
        <v>7.7</v>
      </c>
      <c r="G218" s="2">
        <v>1614</v>
      </c>
      <c r="H218" s="2">
        <v>1005</v>
      </c>
      <c r="I218" s="2">
        <v>176</v>
      </c>
      <c r="J218" s="2">
        <v>3</v>
      </c>
      <c r="K218" s="2">
        <v>1.7999999999999999E-2</v>
      </c>
      <c r="L218" s="2">
        <v>17</v>
      </c>
      <c r="M218" s="2" t="str">
        <f t="shared" si="16"/>
        <v>Safe</v>
      </c>
      <c r="N218" s="2" t="str">
        <f t="shared" si="17"/>
        <v>Safe</v>
      </c>
      <c r="O218" s="2" t="str">
        <f t="shared" si="18"/>
        <v>Unsafe</v>
      </c>
      <c r="P218" s="2" t="str">
        <f t="shared" si="19"/>
        <v>Contaminated</v>
      </c>
    </row>
    <row r="219" spans="1:16" x14ac:dyDescent="0.35">
      <c r="A219" s="2" t="s">
        <v>228</v>
      </c>
      <c r="B219" s="3">
        <v>44768</v>
      </c>
      <c r="C219" s="3" t="str">
        <f t="shared" si="15"/>
        <v>Jul</v>
      </c>
      <c r="D219" s="2" t="s">
        <v>314</v>
      </c>
      <c r="E219" s="2" t="s">
        <v>312</v>
      </c>
      <c r="F219" s="2">
        <v>6.1</v>
      </c>
      <c r="G219" s="2">
        <v>287</v>
      </c>
      <c r="H219" s="2">
        <v>506</v>
      </c>
      <c r="I219" s="2">
        <v>375</v>
      </c>
      <c r="J219" s="2">
        <v>72</v>
      </c>
      <c r="K219" s="2">
        <v>7.0000000000000001E-3</v>
      </c>
      <c r="L219" s="2">
        <v>21</v>
      </c>
      <c r="M219" s="2" t="str">
        <f t="shared" si="16"/>
        <v>Unsafe</v>
      </c>
      <c r="N219" s="2" t="str">
        <f t="shared" si="17"/>
        <v>Unsafe</v>
      </c>
      <c r="O219" s="2" t="str">
        <f t="shared" si="18"/>
        <v>Safe</v>
      </c>
      <c r="P219" s="2" t="str">
        <f t="shared" si="19"/>
        <v>Contaminated</v>
      </c>
    </row>
    <row r="220" spans="1:16" x14ac:dyDescent="0.35">
      <c r="A220" s="2" t="s">
        <v>229</v>
      </c>
      <c r="B220" s="3">
        <v>44787</v>
      </c>
      <c r="C220" s="3" t="str">
        <f t="shared" si="15"/>
        <v>Aug</v>
      </c>
      <c r="D220" s="2" t="s">
        <v>311</v>
      </c>
      <c r="E220" s="2" t="s">
        <v>315</v>
      </c>
      <c r="F220" s="2">
        <v>8.9</v>
      </c>
      <c r="G220" s="2">
        <v>1069</v>
      </c>
      <c r="H220" s="2">
        <v>665</v>
      </c>
      <c r="I220" s="2">
        <v>127</v>
      </c>
      <c r="J220" s="2">
        <v>1</v>
      </c>
      <c r="K220" s="2">
        <v>0</v>
      </c>
      <c r="L220" s="2">
        <v>20</v>
      </c>
      <c r="M220" s="2" t="str">
        <f t="shared" si="16"/>
        <v>Unsafe</v>
      </c>
      <c r="N220" s="2" t="str">
        <f t="shared" si="17"/>
        <v>Safe</v>
      </c>
      <c r="O220" s="2" t="str">
        <f t="shared" si="18"/>
        <v>Safe</v>
      </c>
      <c r="P220" s="2" t="str">
        <f t="shared" si="19"/>
        <v>Contaminated</v>
      </c>
    </row>
    <row r="221" spans="1:16" x14ac:dyDescent="0.35">
      <c r="A221" s="2" t="s">
        <v>230</v>
      </c>
      <c r="B221" s="3">
        <v>44627</v>
      </c>
      <c r="C221" s="3" t="str">
        <f t="shared" si="15"/>
        <v>Mar</v>
      </c>
      <c r="D221" s="2" t="s">
        <v>311</v>
      </c>
      <c r="E221" s="2" t="s">
        <v>315</v>
      </c>
      <c r="F221" s="2">
        <v>9</v>
      </c>
      <c r="G221" s="2">
        <v>912</v>
      </c>
      <c r="H221" s="2">
        <v>533</v>
      </c>
      <c r="I221" s="2">
        <v>391</v>
      </c>
      <c r="J221" s="2">
        <v>37</v>
      </c>
      <c r="K221" s="2">
        <v>4.0000000000000001E-3</v>
      </c>
      <c r="L221" s="2">
        <v>18</v>
      </c>
      <c r="M221" s="2" t="str">
        <f t="shared" si="16"/>
        <v>Unsafe</v>
      </c>
      <c r="N221" s="2" t="str">
        <f t="shared" si="17"/>
        <v>Safe</v>
      </c>
      <c r="O221" s="2" t="str">
        <f t="shared" si="18"/>
        <v>Safe</v>
      </c>
      <c r="P221" s="2" t="str">
        <f t="shared" si="19"/>
        <v>Contaminated</v>
      </c>
    </row>
    <row r="222" spans="1:16" x14ac:dyDescent="0.35">
      <c r="A222" s="2" t="s">
        <v>231</v>
      </c>
      <c r="B222" s="3">
        <v>44639</v>
      </c>
      <c r="C222" s="3" t="str">
        <f t="shared" si="15"/>
        <v>Mar</v>
      </c>
      <c r="D222" s="2" t="s">
        <v>313</v>
      </c>
      <c r="E222" s="2" t="s">
        <v>318</v>
      </c>
      <c r="F222" s="2">
        <v>6.9</v>
      </c>
      <c r="G222" s="2">
        <v>833</v>
      </c>
      <c r="H222" s="2">
        <v>547</v>
      </c>
      <c r="I222" s="2">
        <v>204</v>
      </c>
      <c r="J222" s="2">
        <v>8</v>
      </c>
      <c r="K222" s="2">
        <v>1E-3</v>
      </c>
      <c r="L222" s="2">
        <v>15</v>
      </c>
      <c r="M222" s="2" t="str">
        <f t="shared" si="16"/>
        <v>Safe</v>
      </c>
      <c r="N222" s="2" t="str">
        <f t="shared" si="17"/>
        <v>Safe</v>
      </c>
      <c r="O222" s="2" t="str">
        <f t="shared" si="18"/>
        <v>Safe</v>
      </c>
      <c r="P222" s="2" t="str">
        <f t="shared" si="19"/>
        <v>Safe</v>
      </c>
    </row>
    <row r="223" spans="1:16" x14ac:dyDescent="0.35">
      <c r="A223" s="2" t="s">
        <v>232</v>
      </c>
      <c r="B223" s="3">
        <v>44866</v>
      </c>
      <c r="C223" s="3" t="str">
        <f t="shared" si="15"/>
        <v>Nov</v>
      </c>
      <c r="D223" s="2" t="s">
        <v>314</v>
      </c>
      <c r="E223" s="2" t="s">
        <v>312</v>
      </c>
      <c r="F223" s="2">
        <v>6.5</v>
      </c>
      <c r="G223" s="2">
        <v>496</v>
      </c>
      <c r="H223" s="2">
        <v>484</v>
      </c>
      <c r="I223" s="2">
        <v>330</v>
      </c>
      <c r="J223" s="2">
        <v>57</v>
      </c>
      <c r="K223" s="2">
        <v>8.9999999999999993E-3</v>
      </c>
      <c r="L223" s="2">
        <v>34</v>
      </c>
      <c r="M223" s="2" t="str">
        <f t="shared" si="16"/>
        <v>Safe</v>
      </c>
      <c r="N223" s="2" t="str">
        <f t="shared" si="17"/>
        <v>Unsafe</v>
      </c>
      <c r="O223" s="2" t="str">
        <f t="shared" si="18"/>
        <v>Safe</v>
      </c>
      <c r="P223" s="2" t="str">
        <f t="shared" si="19"/>
        <v>Contaminated</v>
      </c>
    </row>
    <row r="224" spans="1:16" x14ac:dyDescent="0.35">
      <c r="A224" s="2" t="s">
        <v>233</v>
      </c>
      <c r="B224" s="3">
        <v>44704</v>
      </c>
      <c r="C224" s="3" t="str">
        <f t="shared" si="15"/>
        <v>May</v>
      </c>
      <c r="D224" s="2" t="s">
        <v>313</v>
      </c>
      <c r="E224" s="2" t="s">
        <v>315</v>
      </c>
      <c r="F224" s="2">
        <v>8.6999999999999993</v>
      </c>
      <c r="G224" s="2">
        <v>729</v>
      </c>
      <c r="H224" s="2">
        <v>628</v>
      </c>
      <c r="I224" s="2">
        <v>161</v>
      </c>
      <c r="J224" s="2">
        <v>32</v>
      </c>
      <c r="K224" s="2">
        <v>1.2999999999999999E-2</v>
      </c>
      <c r="L224" s="2">
        <v>35</v>
      </c>
      <c r="M224" s="2" t="str">
        <f t="shared" si="16"/>
        <v>Unsafe</v>
      </c>
      <c r="N224" s="2" t="str">
        <f t="shared" si="17"/>
        <v>Safe</v>
      </c>
      <c r="O224" s="2" t="str">
        <f t="shared" si="18"/>
        <v>Unsafe</v>
      </c>
      <c r="P224" s="2" t="str">
        <f t="shared" si="19"/>
        <v>Contaminated</v>
      </c>
    </row>
    <row r="225" spans="1:16" x14ac:dyDescent="0.35">
      <c r="A225" s="2" t="s">
        <v>234</v>
      </c>
      <c r="B225" s="3">
        <v>44756</v>
      </c>
      <c r="C225" s="3" t="str">
        <f t="shared" si="15"/>
        <v>Jul</v>
      </c>
      <c r="D225" s="2" t="s">
        <v>311</v>
      </c>
      <c r="E225" s="2" t="s">
        <v>315</v>
      </c>
      <c r="F225" s="2">
        <v>7.3</v>
      </c>
      <c r="G225" s="2">
        <v>1395</v>
      </c>
      <c r="H225" s="2">
        <v>475</v>
      </c>
      <c r="I225" s="2">
        <v>385</v>
      </c>
      <c r="J225" s="2">
        <v>66</v>
      </c>
      <c r="K225" s="2">
        <v>1.7000000000000001E-2</v>
      </c>
      <c r="L225" s="2">
        <v>28</v>
      </c>
      <c r="M225" s="2" t="str">
        <f t="shared" si="16"/>
        <v>Safe</v>
      </c>
      <c r="N225" s="2" t="str">
        <f t="shared" si="17"/>
        <v>Unsafe</v>
      </c>
      <c r="O225" s="2" t="str">
        <f t="shared" si="18"/>
        <v>Unsafe</v>
      </c>
      <c r="P225" s="2" t="str">
        <f t="shared" si="19"/>
        <v>Contaminated</v>
      </c>
    </row>
    <row r="226" spans="1:16" x14ac:dyDescent="0.35">
      <c r="A226" s="2" t="s">
        <v>235</v>
      </c>
      <c r="B226" s="3">
        <v>44866</v>
      </c>
      <c r="C226" s="3" t="str">
        <f t="shared" si="15"/>
        <v>Nov</v>
      </c>
      <c r="D226" s="2" t="s">
        <v>314</v>
      </c>
      <c r="E226" s="2" t="s">
        <v>315</v>
      </c>
      <c r="F226" s="2">
        <v>7.8</v>
      </c>
      <c r="G226" s="2">
        <v>566</v>
      </c>
      <c r="H226" s="2">
        <v>1146</v>
      </c>
      <c r="I226" s="2">
        <v>193</v>
      </c>
      <c r="J226" s="2">
        <v>4</v>
      </c>
      <c r="K226" s="2">
        <v>5.0000000000000001E-3</v>
      </c>
      <c r="L226" s="2">
        <v>12</v>
      </c>
      <c r="M226" s="2" t="str">
        <f t="shared" si="16"/>
        <v>Safe</v>
      </c>
      <c r="N226" s="2" t="str">
        <f t="shared" si="17"/>
        <v>Safe</v>
      </c>
      <c r="O226" s="2" t="str">
        <f t="shared" si="18"/>
        <v>Safe</v>
      </c>
      <c r="P226" s="2" t="str">
        <f t="shared" si="19"/>
        <v>Safe</v>
      </c>
    </row>
    <row r="227" spans="1:16" x14ac:dyDescent="0.35">
      <c r="A227" s="2" t="s">
        <v>236</v>
      </c>
      <c r="B227" s="3">
        <v>44670</v>
      </c>
      <c r="C227" s="3" t="str">
        <f t="shared" si="15"/>
        <v>Apr</v>
      </c>
      <c r="D227" s="2" t="s">
        <v>316</v>
      </c>
      <c r="E227" s="2" t="s">
        <v>312</v>
      </c>
      <c r="F227" s="2">
        <v>7.8</v>
      </c>
      <c r="G227" s="2">
        <v>1183</v>
      </c>
      <c r="H227" s="2">
        <v>939</v>
      </c>
      <c r="I227" s="2">
        <v>391</v>
      </c>
      <c r="J227" s="2">
        <v>58</v>
      </c>
      <c r="K227" s="2">
        <v>7.0000000000000001E-3</v>
      </c>
      <c r="L227" s="2">
        <v>10</v>
      </c>
      <c r="M227" s="2" t="str">
        <f t="shared" si="16"/>
        <v>Safe</v>
      </c>
      <c r="N227" s="2" t="str">
        <f t="shared" si="17"/>
        <v>Unsafe</v>
      </c>
      <c r="O227" s="2" t="str">
        <f t="shared" si="18"/>
        <v>Safe</v>
      </c>
      <c r="P227" s="2" t="str">
        <f t="shared" si="19"/>
        <v>Contaminated</v>
      </c>
    </row>
    <row r="228" spans="1:16" x14ac:dyDescent="0.35">
      <c r="A228" s="2" t="s">
        <v>237</v>
      </c>
      <c r="B228" s="3">
        <v>44779</v>
      </c>
      <c r="C228" s="3" t="str">
        <f t="shared" si="15"/>
        <v>Aug</v>
      </c>
      <c r="D228" s="2" t="s">
        <v>317</v>
      </c>
      <c r="E228" s="2" t="s">
        <v>318</v>
      </c>
      <c r="F228" s="2">
        <v>6.3</v>
      </c>
      <c r="G228" s="2">
        <v>414</v>
      </c>
      <c r="H228" s="2">
        <v>1038</v>
      </c>
      <c r="I228" s="2">
        <v>270</v>
      </c>
      <c r="J228" s="2">
        <v>7</v>
      </c>
      <c r="K228" s="2">
        <v>2E-3</v>
      </c>
      <c r="L228" s="2">
        <v>19</v>
      </c>
      <c r="M228" s="2" t="str">
        <f t="shared" si="16"/>
        <v>Unsafe</v>
      </c>
      <c r="N228" s="2" t="str">
        <f t="shared" si="17"/>
        <v>Safe</v>
      </c>
      <c r="O228" s="2" t="str">
        <f t="shared" si="18"/>
        <v>Safe</v>
      </c>
      <c r="P228" s="2" t="str">
        <f t="shared" si="19"/>
        <v>Contaminated</v>
      </c>
    </row>
    <row r="229" spans="1:16" x14ac:dyDescent="0.35">
      <c r="A229" s="2" t="s">
        <v>238</v>
      </c>
      <c r="B229" s="3">
        <v>44782</v>
      </c>
      <c r="C229" s="3" t="str">
        <f t="shared" si="15"/>
        <v>Aug</v>
      </c>
      <c r="D229" s="2" t="s">
        <v>317</v>
      </c>
      <c r="E229" s="2" t="s">
        <v>312</v>
      </c>
      <c r="F229" s="2">
        <v>6</v>
      </c>
      <c r="G229" s="2">
        <v>757</v>
      </c>
      <c r="H229" s="2">
        <v>274</v>
      </c>
      <c r="I229" s="2">
        <v>228</v>
      </c>
      <c r="J229" s="2">
        <v>35</v>
      </c>
      <c r="K229" s="2">
        <v>1.7000000000000001E-2</v>
      </c>
      <c r="L229" s="2">
        <v>32</v>
      </c>
      <c r="M229" s="2" t="str">
        <f t="shared" si="16"/>
        <v>Unsafe</v>
      </c>
      <c r="N229" s="2" t="str">
        <f t="shared" si="17"/>
        <v>Safe</v>
      </c>
      <c r="O229" s="2" t="str">
        <f t="shared" si="18"/>
        <v>Unsafe</v>
      </c>
      <c r="P229" s="2" t="str">
        <f t="shared" si="19"/>
        <v>Contaminated</v>
      </c>
    </row>
    <row r="230" spans="1:16" x14ac:dyDescent="0.35">
      <c r="A230" s="2" t="s">
        <v>239</v>
      </c>
      <c r="B230" s="3">
        <v>44750</v>
      </c>
      <c r="C230" s="3" t="str">
        <f t="shared" si="15"/>
        <v>Jul</v>
      </c>
      <c r="D230" s="2" t="s">
        <v>317</v>
      </c>
      <c r="E230" s="2" t="s">
        <v>312</v>
      </c>
      <c r="F230" s="2">
        <v>8.5</v>
      </c>
      <c r="G230" s="2">
        <v>967</v>
      </c>
      <c r="H230" s="2">
        <v>509</v>
      </c>
      <c r="I230" s="2">
        <v>386</v>
      </c>
      <c r="J230" s="2">
        <v>32</v>
      </c>
      <c r="K230" s="2">
        <v>0</v>
      </c>
      <c r="L230" s="2">
        <v>30</v>
      </c>
      <c r="M230" s="2" t="str">
        <f t="shared" si="16"/>
        <v>Safe</v>
      </c>
      <c r="N230" s="2" t="str">
        <f t="shared" si="17"/>
        <v>Safe</v>
      </c>
      <c r="O230" s="2" t="str">
        <f t="shared" si="18"/>
        <v>Safe</v>
      </c>
      <c r="P230" s="2" t="str">
        <f t="shared" si="19"/>
        <v>Safe</v>
      </c>
    </row>
    <row r="231" spans="1:16" x14ac:dyDescent="0.35">
      <c r="A231" s="2" t="s">
        <v>240</v>
      </c>
      <c r="B231" s="3">
        <v>44663</v>
      </c>
      <c r="C231" s="3" t="str">
        <f t="shared" si="15"/>
        <v>Apr</v>
      </c>
      <c r="D231" s="2" t="s">
        <v>316</v>
      </c>
      <c r="E231" s="2" t="s">
        <v>312</v>
      </c>
      <c r="F231" s="2">
        <v>7.2</v>
      </c>
      <c r="G231" s="2">
        <v>787</v>
      </c>
      <c r="H231" s="2">
        <v>674</v>
      </c>
      <c r="I231" s="2">
        <v>355</v>
      </c>
      <c r="J231" s="2">
        <v>54</v>
      </c>
      <c r="K231" s="2">
        <v>2E-3</v>
      </c>
      <c r="L231" s="2">
        <v>27</v>
      </c>
      <c r="M231" s="2" t="str">
        <f t="shared" si="16"/>
        <v>Safe</v>
      </c>
      <c r="N231" s="2" t="str">
        <f t="shared" si="17"/>
        <v>Unsafe</v>
      </c>
      <c r="O231" s="2" t="str">
        <f t="shared" si="18"/>
        <v>Safe</v>
      </c>
      <c r="P231" s="2" t="str">
        <f t="shared" si="19"/>
        <v>Contaminated</v>
      </c>
    </row>
    <row r="232" spans="1:16" x14ac:dyDescent="0.35">
      <c r="A232" s="2" t="s">
        <v>241</v>
      </c>
      <c r="B232" s="3">
        <v>44734</v>
      </c>
      <c r="C232" s="3" t="str">
        <f t="shared" si="15"/>
        <v>Jun</v>
      </c>
      <c r="D232" s="2" t="s">
        <v>316</v>
      </c>
      <c r="E232" s="2" t="s">
        <v>318</v>
      </c>
      <c r="F232" s="2">
        <v>7.8</v>
      </c>
      <c r="G232" s="2">
        <v>539</v>
      </c>
      <c r="H232" s="2">
        <v>918</v>
      </c>
      <c r="I232" s="2">
        <v>128</v>
      </c>
      <c r="J232" s="2">
        <v>36</v>
      </c>
      <c r="K232" s="2">
        <v>0</v>
      </c>
      <c r="L232" s="2">
        <v>15</v>
      </c>
      <c r="M232" s="2" t="str">
        <f t="shared" si="16"/>
        <v>Safe</v>
      </c>
      <c r="N232" s="2" t="str">
        <f t="shared" si="17"/>
        <v>Safe</v>
      </c>
      <c r="O232" s="2" t="str">
        <f t="shared" si="18"/>
        <v>Safe</v>
      </c>
      <c r="P232" s="2" t="str">
        <f t="shared" si="19"/>
        <v>Safe</v>
      </c>
    </row>
    <row r="233" spans="1:16" x14ac:dyDescent="0.35">
      <c r="A233" s="2" t="s">
        <v>242</v>
      </c>
      <c r="B233" s="3">
        <v>44906</v>
      </c>
      <c r="C233" s="3" t="str">
        <f t="shared" si="15"/>
        <v>Dec</v>
      </c>
      <c r="D233" s="2" t="s">
        <v>313</v>
      </c>
      <c r="E233" s="2" t="s">
        <v>312</v>
      </c>
      <c r="F233" s="2">
        <v>7.9</v>
      </c>
      <c r="G233" s="2">
        <v>903</v>
      </c>
      <c r="H233" s="2">
        <v>542</v>
      </c>
      <c r="I233" s="2">
        <v>121</v>
      </c>
      <c r="J233" s="2">
        <v>11</v>
      </c>
      <c r="K233" s="2">
        <v>4.0000000000000001E-3</v>
      </c>
      <c r="L233" s="2">
        <v>30</v>
      </c>
      <c r="M233" s="2" t="str">
        <f t="shared" si="16"/>
        <v>Safe</v>
      </c>
      <c r="N233" s="2" t="str">
        <f t="shared" si="17"/>
        <v>Safe</v>
      </c>
      <c r="O233" s="2" t="str">
        <f t="shared" si="18"/>
        <v>Safe</v>
      </c>
      <c r="P233" s="2" t="str">
        <f t="shared" si="19"/>
        <v>Safe</v>
      </c>
    </row>
    <row r="234" spans="1:16" x14ac:dyDescent="0.35">
      <c r="A234" s="2" t="s">
        <v>243</v>
      </c>
      <c r="B234" s="3">
        <v>44752</v>
      </c>
      <c r="C234" s="3" t="str">
        <f t="shared" si="15"/>
        <v>Jul</v>
      </c>
      <c r="D234" s="2" t="s">
        <v>313</v>
      </c>
      <c r="E234" s="2" t="s">
        <v>315</v>
      </c>
      <c r="F234" s="2">
        <v>8.6</v>
      </c>
      <c r="G234" s="2">
        <v>216</v>
      </c>
      <c r="H234" s="2">
        <v>1014</v>
      </c>
      <c r="I234" s="2">
        <v>195</v>
      </c>
      <c r="J234" s="2">
        <v>69</v>
      </c>
      <c r="K234" s="2">
        <v>4.0000000000000001E-3</v>
      </c>
      <c r="L234" s="2">
        <v>29</v>
      </c>
      <c r="M234" s="2" t="str">
        <f t="shared" si="16"/>
        <v>Unsafe</v>
      </c>
      <c r="N234" s="2" t="str">
        <f t="shared" si="17"/>
        <v>Unsafe</v>
      </c>
      <c r="O234" s="2" t="str">
        <f t="shared" si="18"/>
        <v>Safe</v>
      </c>
      <c r="P234" s="2" t="str">
        <f t="shared" si="19"/>
        <v>Contaminated</v>
      </c>
    </row>
    <row r="235" spans="1:16" x14ac:dyDescent="0.35">
      <c r="A235" s="2" t="s">
        <v>244</v>
      </c>
      <c r="B235" s="3">
        <v>44795</v>
      </c>
      <c r="C235" s="3" t="str">
        <f t="shared" si="15"/>
        <v>Aug</v>
      </c>
      <c r="D235" s="2" t="s">
        <v>314</v>
      </c>
      <c r="E235" s="2" t="s">
        <v>318</v>
      </c>
      <c r="F235" s="2">
        <v>7.7</v>
      </c>
      <c r="G235" s="2">
        <v>1232</v>
      </c>
      <c r="H235" s="2">
        <v>435</v>
      </c>
      <c r="I235" s="2">
        <v>299</v>
      </c>
      <c r="J235" s="2">
        <v>10</v>
      </c>
      <c r="K235" s="2">
        <v>2E-3</v>
      </c>
      <c r="L235" s="2">
        <v>31</v>
      </c>
      <c r="M235" s="2" t="str">
        <f t="shared" si="16"/>
        <v>Safe</v>
      </c>
      <c r="N235" s="2" t="str">
        <f t="shared" si="17"/>
        <v>Safe</v>
      </c>
      <c r="O235" s="2" t="str">
        <f t="shared" si="18"/>
        <v>Safe</v>
      </c>
      <c r="P235" s="2" t="str">
        <f t="shared" si="19"/>
        <v>Safe</v>
      </c>
    </row>
    <row r="236" spans="1:16" x14ac:dyDescent="0.35">
      <c r="A236" s="2" t="s">
        <v>245</v>
      </c>
      <c r="B236" s="3">
        <v>44868</v>
      </c>
      <c r="C236" s="3" t="str">
        <f t="shared" si="15"/>
        <v>Nov</v>
      </c>
      <c r="D236" s="2" t="s">
        <v>317</v>
      </c>
      <c r="E236" s="2" t="s">
        <v>318</v>
      </c>
      <c r="F236" s="2">
        <v>8.5</v>
      </c>
      <c r="G236" s="2">
        <v>1122</v>
      </c>
      <c r="H236" s="2">
        <v>933</v>
      </c>
      <c r="I236" s="2">
        <v>243</v>
      </c>
      <c r="J236" s="2">
        <v>60</v>
      </c>
      <c r="K236" s="2">
        <v>0</v>
      </c>
      <c r="L236" s="2">
        <v>26</v>
      </c>
      <c r="M236" s="2" t="str">
        <f t="shared" si="16"/>
        <v>Safe</v>
      </c>
      <c r="N236" s="2" t="str">
        <f t="shared" si="17"/>
        <v>Unsafe</v>
      </c>
      <c r="O236" s="2" t="str">
        <f t="shared" si="18"/>
        <v>Safe</v>
      </c>
      <c r="P236" s="2" t="str">
        <f t="shared" si="19"/>
        <v>Contaminated</v>
      </c>
    </row>
    <row r="237" spans="1:16" x14ac:dyDescent="0.35">
      <c r="A237" s="2" t="s">
        <v>246</v>
      </c>
      <c r="B237" s="3">
        <v>44658</v>
      </c>
      <c r="C237" s="3" t="str">
        <f t="shared" si="15"/>
        <v>Apr</v>
      </c>
      <c r="D237" s="2" t="s">
        <v>317</v>
      </c>
      <c r="E237" s="2" t="s">
        <v>315</v>
      </c>
      <c r="F237" s="2">
        <v>6</v>
      </c>
      <c r="G237" s="2">
        <v>1482</v>
      </c>
      <c r="H237" s="2">
        <v>1113</v>
      </c>
      <c r="I237" s="2">
        <v>107</v>
      </c>
      <c r="J237" s="2">
        <v>37</v>
      </c>
      <c r="K237" s="2">
        <v>8.0000000000000002E-3</v>
      </c>
      <c r="L237" s="2">
        <v>12</v>
      </c>
      <c r="M237" s="2" t="str">
        <f t="shared" si="16"/>
        <v>Unsafe</v>
      </c>
      <c r="N237" s="2" t="str">
        <f t="shared" si="17"/>
        <v>Safe</v>
      </c>
      <c r="O237" s="2" t="str">
        <f t="shared" si="18"/>
        <v>Safe</v>
      </c>
      <c r="P237" s="2" t="str">
        <f t="shared" si="19"/>
        <v>Contaminated</v>
      </c>
    </row>
    <row r="238" spans="1:16" x14ac:dyDescent="0.35">
      <c r="A238" s="2" t="s">
        <v>247</v>
      </c>
      <c r="B238" s="3">
        <v>44767</v>
      </c>
      <c r="C238" s="3" t="str">
        <f t="shared" si="15"/>
        <v>Jul</v>
      </c>
      <c r="D238" s="2" t="s">
        <v>313</v>
      </c>
      <c r="E238" s="2" t="s">
        <v>318</v>
      </c>
      <c r="F238" s="2">
        <v>7.8</v>
      </c>
      <c r="G238" s="2">
        <v>1070</v>
      </c>
      <c r="H238" s="2">
        <v>556</v>
      </c>
      <c r="I238" s="2">
        <v>180</v>
      </c>
      <c r="J238" s="2">
        <v>29</v>
      </c>
      <c r="K238" s="2">
        <v>7.0000000000000001E-3</v>
      </c>
      <c r="L238" s="2">
        <v>14</v>
      </c>
      <c r="M238" s="2" t="str">
        <f t="shared" si="16"/>
        <v>Safe</v>
      </c>
      <c r="N238" s="2" t="str">
        <f t="shared" si="17"/>
        <v>Safe</v>
      </c>
      <c r="O238" s="2" t="str">
        <f t="shared" si="18"/>
        <v>Safe</v>
      </c>
      <c r="P238" s="2" t="str">
        <f t="shared" si="19"/>
        <v>Safe</v>
      </c>
    </row>
    <row r="239" spans="1:16" x14ac:dyDescent="0.35">
      <c r="A239" s="2" t="s">
        <v>248</v>
      </c>
      <c r="B239" s="3">
        <v>44797</v>
      </c>
      <c r="C239" s="3" t="str">
        <f t="shared" si="15"/>
        <v>Aug</v>
      </c>
      <c r="D239" s="2" t="s">
        <v>311</v>
      </c>
      <c r="E239" s="2" t="s">
        <v>315</v>
      </c>
      <c r="F239" s="2">
        <v>6.5</v>
      </c>
      <c r="G239" s="2">
        <v>1247</v>
      </c>
      <c r="H239" s="2">
        <v>382</v>
      </c>
      <c r="I239" s="2">
        <v>240</v>
      </c>
      <c r="J239" s="2">
        <v>0</v>
      </c>
      <c r="K239" s="2">
        <v>0</v>
      </c>
      <c r="L239" s="2">
        <v>23</v>
      </c>
      <c r="M239" s="2" t="str">
        <f t="shared" si="16"/>
        <v>Safe</v>
      </c>
      <c r="N239" s="2" t="str">
        <f t="shared" si="17"/>
        <v>Safe</v>
      </c>
      <c r="O239" s="2" t="str">
        <f t="shared" si="18"/>
        <v>Safe</v>
      </c>
      <c r="P239" s="2" t="str">
        <f t="shared" si="19"/>
        <v>Safe</v>
      </c>
    </row>
    <row r="240" spans="1:16" x14ac:dyDescent="0.35">
      <c r="A240" s="2" t="s">
        <v>249</v>
      </c>
      <c r="B240" s="3">
        <v>44769</v>
      </c>
      <c r="C240" s="3" t="str">
        <f t="shared" si="15"/>
        <v>Jul</v>
      </c>
      <c r="D240" s="2" t="s">
        <v>314</v>
      </c>
      <c r="E240" s="2" t="s">
        <v>318</v>
      </c>
      <c r="F240" s="2">
        <v>7</v>
      </c>
      <c r="G240" s="2">
        <v>877</v>
      </c>
      <c r="H240" s="2">
        <v>586</v>
      </c>
      <c r="I240" s="2">
        <v>178</v>
      </c>
      <c r="J240" s="2">
        <v>78</v>
      </c>
      <c r="K240" s="2">
        <v>7.0000000000000001E-3</v>
      </c>
      <c r="L240" s="2">
        <v>23</v>
      </c>
      <c r="M240" s="2" t="str">
        <f t="shared" si="16"/>
        <v>Safe</v>
      </c>
      <c r="N240" s="2" t="str">
        <f t="shared" si="17"/>
        <v>Unsafe</v>
      </c>
      <c r="O240" s="2" t="str">
        <f t="shared" si="18"/>
        <v>Safe</v>
      </c>
      <c r="P240" s="2" t="str">
        <f t="shared" si="19"/>
        <v>Contaminated</v>
      </c>
    </row>
    <row r="241" spans="1:16" x14ac:dyDescent="0.35">
      <c r="A241" s="2" t="s">
        <v>250</v>
      </c>
      <c r="B241" s="3">
        <v>44821</v>
      </c>
      <c r="C241" s="3" t="str">
        <f t="shared" si="15"/>
        <v>Sep</v>
      </c>
      <c r="D241" s="2" t="s">
        <v>313</v>
      </c>
      <c r="E241" s="2" t="s">
        <v>318</v>
      </c>
      <c r="F241" s="2">
        <v>7.1</v>
      </c>
      <c r="G241" s="2">
        <v>286</v>
      </c>
      <c r="H241" s="2">
        <v>441</v>
      </c>
      <c r="I241" s="2">
        <v>61</v>
      </c>
      <c r="J241" s="2">
        <v>56</v>
      </c>
      <c r="K241" s="2">
        <v>0.02</v>
      </c>
      <c r="L241" s="2">
        <v>12</v>
      </c>
      <c r="M241" s="2" t="str">
        <f t="shared" si="16"/>
        <v>Safe</v>
      </c>
      <c r="N241" s="2" t="str">
        <f t="shared" si="17"/>
        <v>Unsafe</v>
      </c>
      <c r="O241" s="2" t="str">
        <f t="shared" si="18"/>
        <v>Unsafe</v>
      </c>
      <c r="P241" s="2" t="str">
        <f t="shared" si="19"/>
        <v>Contaminated</v>
      </c>
    </row>
    <row r="242" spans="1:16" x14ac:dyDescent="0.35">
      <c r="A242" s="2" t="s">
        <v>251</v>
      </c>
      <c r="B242" s="3">
        <v>44696</v>
      </c>
      <c r="C242" s="3" t="str">
        <f t="shared" si="15"/>
        <v>May</v>
      </c>
      <c r="D242" s="2" t="s">
        <v>311</v>
      </c>
      <c r="E242" s="2" t="s">
        <v>315</v>
      </c>
      <c r="F242" s="2">
        <v>8.6999999999999993</v>
      </c>
      <c r="G242" s="2">
        <v>1629</v>
      </c>
      <c r="H242" s="2">
        <v>622</v>
      </c>
      <c r="I242" s="2">
        <v>240</v>
      </c>
      <c r="J242" s="2">
        <v>53</v>
      </c>
      <c r="K242" s="2">
        <v>4.0000000000000001E-3</v>
      </c>
      <c r="L242" s="2">
        <v>26</v>
      </c>
      <c r="M242" s="2" t="str">
        <f t="shared" si="16"/>
        <v>Unsafe</v>
      </c>
      <c r="N242" s="2" t="str">
        <f t="shared" si="17"/>
        <v>Unsafe</v>
      </c>
      <c r="O242" s="2" t="str">
        <f t="shared" si="18"/>
        <v>Safe</v>
      </c>
      <c r="P242" s="2" t="str">
        <f t="shared" si="19"/>
        <v>Contaminated</v>
      </c>
    </row>
    <row r="243" spans="1:16" x14ac:dyDescent="0.35">
      <c r="A243" s="2" t="s">
        <v>252</v>
      </c>
      <c r="B243" s="3">
        <v>44623</v>
      </c>
      <c r="C243" s="3" t="str">
        <f t="shared" si="15"/>
        <v>Mar</v>
      </c>
      <c r="D243" s="2" t="s">
        <v>314</v>
      </c>
      <c r="E243" s="2" t="s">
        <v>312</v>
      </c>
      <c r="F243" s="2">
        <v>8.8000000000000007</v>
      </c>
      <c r="G243" s="2">
        <v>823</v>
      </c>
      <c r="H243" s="2">
        <v>826</v>
      </c>
      <c r="I243" s="2">
        <v>159</v>
      </c>
      <c r="J243" s="2">
        <v>33</v>
      </c>
      <c r="K243" s="2">
        <v>1E-3</v>
      </c>
      <c r="L243" s="2">
        <v>14</v>
      </c>
      <c r="M243" s="2" t="str">
        <f t="shared" si="16"/>
        <v>Unsafe</v>
      </c>
      <c r="N243" s="2" t="str">
        <f t="shared" si="17"/>
        <v>Safe</v>
      </c>
      <c r="O243" s="2" t="str">
        <f t="shared" si="18"/>
        <v>Safe</v>
      </c>
      <c r="P243" s="2" t="str">
        <f t="shared" si="19"/>
        <v>Contaminated</v>
      </c>
    </row>
    <row r="244" spans="1:16" x14ac:dyDescent="0.35">
      <c r="A244" s="2" t="s">
        <v>253</v>
      </c>
      <c r="B244" s="3">
        <v>44794</v>
      </c>
      <c r="C244" s="3" t="str">
        <f t="shared" si="15"/>
        <v>Aug</v>
      </c>
      <c r="D244" s="2" t="s">
        <v>317</v>
      </c>
      <c r="E244" s="2" t="s">
        <v>315</v>
      </c>
      <c r="F244" s="2">
        <v>7.7</v>
      </c>
      <c r="G244" s="2">
        <v>551</v>
      </c>
      <c r="H244" s="2">
        <v>745</v>
      </c>
      <c r="I244" s="2">
        <v>292</v>
      </c>
      <c r="J244" s="2">
        <v>59</v>
      </c>
      <c r="K244" s="2">
        <v>2E-3</v>
      </c>
      <c r="L244" s="2">
        <v>29</v>
      </c>
      <c r="M244" s="2" t="str">
        <f t="shared" si="16"/>
        <v>Safe</v>
      </c>
      <c r="N244" s="2" t="str">
        <f t="shared" si="17"/>
        <v>Unsafe</v>
      </c>
      <c r="O244" s="2" t="str">
        <f t="shared" si="18"/>
        <v>Safe</v>
      </c>
      <c r="P244" s="2" t="str">
        <f t="shared" si="19"/>
        <v>Contaminated</v>
      </c>
    </row>
    <row r="245" spans="1:16" x14ac:dyDescent="0.35">
      <c r="A245" s="2" t="s">
        <v>254</v>
      </c>
      <c r="B245" s="3">
        <v>44779</v>
      </c>
      <c r="C245" s="3" t="str">
        <f t="shared" si="15"/>
        <v>Aug</v>
      </c>
      <c r="D245" s="2" t="s">
        <v>313</v>
      </c>
      <c r="E245" s="2" t="s">
        <v>312</v>
      </c>
      <c r="F245" s="2">
        <v>7.6</v>
      </c>
      <c r="G245" s="2">
        <v>1340</v>
      </c>
      <c r="H245" s="2">
        <v>545</v>
      </c>
      <c r="I245" s="2">
        <v>113</v>
      </c>
      <c r="J245" s="2">
        <v>69</v>
      </c>
      <c r="K245" s="2">
        <v>1.9E-2</v>
      </c>
      <c r="L245" s="2">
        <v>30</v>
      </c>
      <c r="M245" s="2" t="str">
        <f t="shared" si="16"/>
        <v>Safe</v>
      </c>
      <c r="N245" s="2" t="str">
        <f t="shared" si="17"/>
        <v>Unsafe</v>
      </c>
      <c r="O245" s="2" t="str">
        <f t="shared" si="18"/>
        <v>Unsafe</v>
      </c>
      <c r="P245" s="2" t="str">
        <f t="shared" si="19"/>
        <v>Contaminated</v>
      </c>
    </row>
    <row r="246" spans="1:16" x14ac:dyDescent="0.35">
      <c r="A246" s="2" t="s">
        <v>255</v>
      </c>
      <c r="B246" s="3">
        <v>44752</v>
      </c>
      <c r="C246" s="3" t="str">
        <f t="shared" si="15"/>
        <v>Jul</v>
      </c>
      <c r="D246" s="2" t="s">
        <v>314</v>
      </c>
      <c r="E246" s="2" t="s">
        <v>312</v>
      </c>
      <c r="F246" s="2">
        <v>6.2</v>
      </c>
      <c r="G246" s="2">
        <v>304</v>
      </c>
      <c r="H246" s="2">
        <v>389</v>
      </c>
      <c r="I246" s="2">
        <v>386</v>
      </c>
      <c r="J246" s="2">
        <v>5</v>
      </c>
      <c r="K246" s="2">
        <v>1.0999999999999999E-2</v>
      </c>
      <c r="L246" s="2">
        <v>12</v>
      </c>
      <c r="M246" s="2" t="str">
        <f t="shared" si="16"/>
        <v>Unsafe</v>
      </c>
      <c r="N246" s="2" t="str">
        <f t="shared" si="17"/>
        <v>Safe</v>
      </c>
      <c r="O246" s="2" t="str">
        <f t="shared" si="18"/>
        <v>Unsafe</v>
      </c>
      <c r="P246" s="2" t="str">
        <f t="shared" si="19"/>
        <v>Contaminated</v>
      </c>
    </row>
    <row r="247" spans="1:16" x14ac:dyDescent="0.35">
      <c r="A247" s="2" t="s">
        <v>256</v>
      </c>
      <c r="B247" s="3">
        <v>44838</v>
      </c>
      <c r="C247" s="3" t="str">
        <f t="shared" si="15"/>
        <v>Oct</v>
      </c>
      <c r="D247" s="2" t="s">
        <v>314</v>
      </c>
      <c r="E247" s="2" t="s">
        <v>318</v>
      </c>
      <c r="F247" s="2">
        <v>8.4</v>
      </c>
      <c r="G247" s="2">
        <v>1489</v>
      </c>
      <c r="H247" s="2">
        <v>144</v>
      </c>
      <c r="I247" s="2">
        <v>362</v>
      </c>
      <c r="J247" s="2">
        <v>24</v>
      </c>
      <c r="K247" s="2">
        <v>1.4999999999999999E-2</v>
      </c>
      <c r="L247" s="2">
        <v>35</v>
      </c>
      <c r="M247" s="2" t="str">
        <f t="shared" si="16"/>
        <v>Safe</v>
      </c>
      <c r="N247" s="2" t="str">
        <f t="shared" si="17"/>
        <v>Safe</v>
      </c>
      <c r="O247" s="2" t="str">
        <f t="shared" si="18"/>
        <v>Unsafe</v>
      </c>
      <c r="P247" s="2" t="str">
        <f t="shared" si="19"/>
        <v>Contaminated</v>
      </c>
    </row>
    <row r="248" spans="1:16" x14ac:dyDescent="0.35">
      <c r="A248" s="2" t="s">
        <v>257</v>
      </c>
      <c r="B248" s="3">
        <v>44813</v>
      </c>
      <c r="C248" s="3" t="str">
        <f t="shared" si="15"/>
        <v>Sep</v>
      </c>
      <c r="D248" s="2" t="s">
        <v>311</v>
      </c>
      <c r="E248" s="2" t="s">
        <v>312</v>
      </c>
      <c r="F248" s="2">
        <v>6.7</v>
      </c>
      <c r="G248" s="2">
        <v>600</v>
      </c>
      <c r="H248" s="2">
        <v>852</v>
      </c>
      <c r="I248" s="2">
        <v>386</v>
      </c>
      <c r="J248" s="2">
        <v>21</v>
      </c>
      <c r="K248" s="2">
        <v>3.0000000000000001E-3</v>
      </c>
      <c r="L248" s="2">
        <v>28</v>
      </c>
      <c r="M248" s="2" t="str">
        <f t="shared" si="16"/>
        <v>Safe</v>
      </c>
      <c r="N248" s="2" t="str">
        <f t="shared" si="17"/>
        <v>Safe</v>
      </c>
      <c r="O248" s="2" t="str">
        <f t="shared" si="18"/>
        <v>Safe</v>
      </c>
      <c r="P248" s="2" t="str">
        <f t="shared" si="19"/>
        <v>Safe</v>
      </c>
    </row>
    <row r="249" spans="1:16" x14ac:dyDescent="0.35">
      <c r="A249" s="2" t="s">
        <v>258</v>
      </c>
      <c r="B249" s="3">
        <v>44611</v>
      </c>
      <c r="C249" s="3" t="str">
        <f t="shared" si="15"/>
        <v>Feb</v>
      </c>
      <c r="D249" s="2" t="s">
        <v>314</v>
      </c>
      <c r="E249" s="2" t="s">
        <v>315</v>
      </c>
      <c r="F249" s="2">
        <v>6</v>
      </c>
      <c r="G249" s="2">
        <v>732</v>
      </c>
      <c r="H249" s="2">
        <v>550</v>
      </c>
      <c r="I249" s="2">
        <v>380</v>
      </c>
      <c r="J249" s="2">
        <v>44</v>
      </c>
      <c r="K249" s="2">
        <v>1.0999999999999999E-2</v>
      </c>
      <c r="L249" s="2">
        <v>12</v>
      </c>
      <c r="M249" s="2" t="str">
        <f t="shared" si="16"/>
        <v>Unsafe</v>
      </c>
      <c r="N249" s="2" t="str">
        <f t="shared" si="17"/>
        <v>Safe</v>
      </c>
      <c r="O249" s="2" t="str">
        <f t="shared" si="18"/>
        <v>Unsafe</v>
      </c>
      <c r="P249" s="2" t="str">
        <f t="shared" si="19"/>
        <v>Contaminated</v>
      </c>
    </row>
    <row r="250" spans="1:16" x14ac:dyDescent="0.35">
      <c r="A250" s="2" t="s">
        <v>259</v>
      </c>
      <c r="B250" s="3">
        <v>44872</v>
      </c>
      <c r="C250" s="3" t="str">
        <f t="shared" si="15"/>
        <v>Nov</v>
      </c>
      <c r="D250" s="2" t="s">
        <v>311</v>
      </c>
      <c r="E250" s="2" t="s">
        <v>315</v>
      </c>
      <c r="F250" s="2">
        <v>7.8</v>
      </c>
      <c r="G250" s="2">
        <v>1203</v>
      </c>
      <c r="H250" s="2">
        <v>1067</v>
      </c>
      <c r="I250" s="2">
        <v>237</v>
      </c>
      <c r="J250" s="2">
        <v>25</v>
      </c>
      <c r="K250" s="2">
        <v>1.6E-2</v>
      </c>
      <c r="L250" s="2">
        <v>29</v>
      </c>
      <c r="M250" s="2" t="str">
        <f t="shared" si="16"/>
        <v>Safe</v>
      </c>
      <c r="N250" s="2" t="str">
        <f t="shared" si="17"/>
        <v>Safe</v>
      </c>
      <c r="O250" s="2" t="str">
        <f t="shared" si="18"/>
        <v>Unsafe</v>
      </c>
      <c r="P250" s="2" t="str">
        <f t="shared" si="19"/>
        <v>Contaminated</v>
      </c>
    </row>
    <row r="251" spans="1:16" x14ac:dyDescent="0.35">
      <c r="A251" s="2" t="s">
        <v>260</v>
      </c>
      <c r="B251" s="3">
        <v>44832</v>
      </c>
      <c r="C251" s="3" t="str">
        <f t="shared" si="15"/>
        <v>Sep</v>
      </c>
      <c r="D251" s="2" t="s">
        <v>316</v>
      </c>
      <c r="E251" s="2" t="s">
        <v>318</v>
      </c>
      <c r="F251" s="2">
        <v>7.1</v>
      </c>
      <c r="G251" s="2">
        <v>972</v>
      </c>
      <c r="H251" s="2">
        <v>886</v>
      </c>
      <c r="I251" s="2">
        <v>65</v>
      </c>
      <c r="J251" s="2">
        <v>4</v>
      </c>
      <c r="K251" s="2">
        <v>1E-3</v>
      </c>
      <c r="L251" s="2">
        <v>27</v>
      </c>
      <c r="M251" s="2" t="str">
        <f t="shared" si="16"/>
        <v>Safe</v>
      </c>
      <c r="N251" s="2" t="str">
        <f t="shared" si="17"/>
        <v>Safe</v>
      </c>
      <c r="O251" s="2" t="str">
        <f t="shared" si="18"/>
        <v>Safe</v>
      </c>
      <c r="P251" s="2" t="str">
        <f t="shared" si="19"/>
        <v>Safe</v>
      </c>
    </row>
    <row r="252" spans="1:16" x14ac:dyDescent="0.35">
      <c r="A252" s="2" t="s">
        <v>261</v>
      </c>
      <c r="B252" s="3">
        <v>44879</v>
      </c>
      <c r="C252" s="3" t="str">
        <f t="shared" si="15"/>
        <v>Nov</v>
      </c>
      <c r="D252" s="2" t="s">
        <v>314</v>
      </c>
      <c r="E252" s="2" t="s">
        <v>312</v>
      </c>
      <c r="F252" s="2">
        <v>6.7</v>
      </c>
      <c r="G252" s="2">
        <v>294</v>
      </c>
      <c r="H252" s="2">
        <v>763</v>
      </c>
      <c r="I252" s="2">
        <v>96</v>
      </c>
      <c r="J252" s="2">
        <v>16</v>
      </c>
      <c r="K252" s="2">
        <v>1.7999999999999999E-2</v>
      </c>
      <c r="L252" s="2">
        <v>15</v>
      </c>
      <c r="M252" s="2" t="str">
        <f t="shared" si="16"/>
        <v>Safe</v>
      </c>
      <c r="N252" s="2" t="str">
        <f t="shared" si="17"/>
        <v>Safe</v>
      </c>
      <c r="O252" s="2" t="str">
        <f t="shared" si="18"/>
        <v>Unsafe</v>
      </c>
      <c r="P252" s="2" t="str">
        <f t="shared" si="19"/>
        <v>Contaminated</v>
      </c>
    </row>
    <row r="253" spans="1:16" x14ac:dyDescent="0.35">
      <c r="A253" s="2" t="s">
        <v>262</v>
      </c>
      <c r="B253" s="3">
        <v>44641</v>
      </c>
      <c r="C253" s="3" t="str">
        <f t="shared" si="15"/>
        <v>Mar</v>
      </c>
      <c r="D253" s="2" t="s">
        <v>314</v>
      </c>
      <c r="E253" s="2" t="s">
        <v>312</v>
      </c>
      <c r="F253" s="2">
        <v>7.2</v>
      </c>
      <c r="G253" s="2">
        <v>1545</v>
      </c>
      <c r="H253" s="2">
        <v>287</v>
      </c>
      <c r="I253" s="2">
        <v>243</v>
      </c>
      <c r="J253" s="2">
        <v>32</v>
      </c>
      <c r="K253" s="2">
        <v>0.01</v>
      </c>
      <c r="L253" s="2">
        <v>15</v>
      </c>
      <c r="M253" s="2" t="str">
        <f t="shared" si="16"/>
        <v>Safe</v>
      </c>
      <c r="N253" s="2" t="str">
        <f t="shared" si="17"/>
        <v>Safe</v>
      </c>
      <c r="O253" s="2" t="str">
        <f t="shared" si="18"/>
        <v>Safe</v>
      </c>
      <c r="P253" s="2" t="str">
        <f t="shared" si="19"/>
        <v>Safe</v>
      </c>
    </row>
    <row r="254" spans="1:16" x14ac:dyDescent="0.35">
      <c r="A254" s="2" t="s">
        <v>263</v>
      </c>
      <c r="B254" s="3">
        <v>44615</v>
      </c>
      <c r="C254" s="3" t="str">
        <f t="shared" si="15"/>
        <v>Feb</v>
      </c>
      <c r="D254" s="2" t="s">
        <v>316</v>
      </c>
      <c r="E254" s="2" t="s">
        <v>318</v>
      </c>
      <c r="F254" s="2">
        <v>6.7</v>
      </c>
      <c r="G254" s="2">
        <v>1425</v>
      </c>
      <c r="H254" s="2">
        <v>496</v>
      </c>
      <c r="I254" s="2">
        <v>309</v>
      </c>
      <c r="J254" s="2">
        <v>63</v>
      </c>
      <c r="K254" s="2">
        <v>3.0000000000000001E-3</v>
      </c>
      <c r="L254" s="2">
        <v>10</v>
      </c>
      <c r="M254" s="2" t="str">
        <f t="shared" si="16"/>
        <v>Safe</v>
      </c>
      <c r="N254" s="2" t="str">
        <f t="shared" si="17"/>
        <v>Unsafe</v>
      </c>
      <c r="O254" s="2" t="str">
        <f t="shared" si="18"/>
        <v>Safe</v>
      </c>
      <c r="P254" s="2" t="str">
        <f t="shared" si="19"/>
        <v>Contaminated</v>
      </c>
    </row>
    <row r="255" spans="1:16" x14ac:dyDescent="0.35">
      <c r="A255" s="2" t="s">
        <v>264</v>
      </c>
      <c r="B255" s="3">
        <v>44606</v>
      </c>
      <c r="C255" s="3" t="str">
        <f t="shared" si="15"/>
        <v>Feb</v>
      </c>
      <c r="D255" s="2" t="s">
        <v>316</v>
      </c>
      <c r="E255" s="2" t="s">
        <v>312</v>
      </c>
      <c r="F255" s="2">
        <v>7.9</v>
      </c>
      <c r="G255" s="2">
        <v>1215</v>
      </c>
      <c r="H255" s="2">
        <v>701</v>
      </c>
      <c r="I255" s="2">
        <v>226</v>
      </c>
      <c r="J255" s="2">
        <v>12</v>
      </c>
      <c r="K255" s="2">
        <v>1E-3</v>
      </c>
      <c r="L255" s="2">
        <v>23</v>
      </c>
      <c r="M255" s="2" t="str">
        <f t="shared" si="16"/>
        <v>Safe</v>
      </c>
      <c r="N255" s="2" t="str">
        <f t="shared" si="17"/>
        <v>Safe</v>
      </c>
      <c r="O255" s="2" t="str">
        <f t="shared" si="18"/>
        <v>Safe</v>
      </c>
      <c r="P255" s="2" t="str">
        <f t="shared" si="19"/>
        <v>Safe</v>
      </c>
    </row>
    <row r="256" spans="1:16" x14ac:dyDescent="0.35">
      <c r="A256" s="2" t="s">
        <v>265</v>
      </c>
      <c r="B256" s="3">
        <v>44574</v>
      </c>
      <c r="C256" s="3" t="str">
        <f t="shared" si="15"/>
        <v>Jan</v>
      </c>
      <c r="D256" s="2" t="s">
        <v>317</v>
      </c>
      <c r="E256" s="2" t="s">
        <v>315</v>
      </c>
      <c r="F256" s="2">
        <v>6.9</v>
      </c>
      <c r="G256" s="2">
        <v>1582</v>
      </c>
      <c r="H256" s="2">
        <v>219</v>
      </c>
      <c r="I256" s="2">
        <v>116</v>
      </c>
      <c r="J256" s="2">
        <v>28</v>
      </c>
      <c r="K256" s="2">
        <v>1.2E-2</v>
      </c>
      <c r="L256" s="2">
        <v>16</v>
      </c>
      <c r="M256" s="2" t="str">
        <f t="shared" si="16"/>
        <v>Safe</v>
      </c>
      <c r="N256" s="2" t="str">
        <f t="shared" si="17"/>
        <v>Safe</v>
      </c>
      <c r="O256" s="2" t="str">
        <f t="shared" si="18"/>
        <v>Unsafe</v>
      </c>
      <c r="P256" s="2" t="str">
        <f t="shared" si="19"/>
        <v>Contaminated</v>
      </c>
    </row>
    <row r="257" spans="1:16" x14ac:dyDescent="0.35">
      <c r="A257" s="2" t="s">
        <v>266</v>
      </c>
      <c r="B257" s="3">
        <v>44595</v>
      </c>
      <c r="C257" s="3" t="str">
        <f t="shared" si="15"/>
        <v>Feb</v>
      </c>
      <c r="D257" s="2" t="s">
        <v>316</v>
      </c>
      <c r="E257" s="2" t="s">
        <v>318</v>
      </c>
      <c r="F257" s="2">
        <v>8.8000000000000007</v>
      </c>
      <c r="G257" s="2">
        <v>1012</v>
      </c>
      <c r="H257" s="2">
        <v>525</v>
      </c>
      <c r="I257" s="2">
        <v>361</v>
      </c>
      <c r="J257" s="2">
        <v>61</v>
      </c>
      <c r="K257" s="2">
        <v>2E-3</v>
      </c>
      <c r="L257" s="2">
        <v>20</v>
      </c>
      <c r="M257" s="2" t="str">
        <f t="shared" si="16"/>
        <v>Unsafe</v>
      </c>
      <c r="N257" s="2" t="str">
        <f t="shared" si="17"/>
        <v>Unsafe</v>
      </c>
      <c r="O257" s="2" t="str">
        <f t="shared" si="18"/>
        <v>Safe</v>
      </c>
      <c r="P257" s="2" t="str">
        <f t="shared" si="19"/>
        <v>Contaminated</v>
      </c>
    </row>
    <row r="258" spans="1:16" x14ac:dyDescent="0.35">
      <c r="A258" s="2" t="s">
        <v>267</v>
      </c>
      <c r="B258" s="3">
        <v>44775</v>
      </c>
      <c r="C258" s="3" t="str">
        <f t="shared" si="15"/>
        <v>Aug</v>
      </c>
      <c r="D258" s="2" t="s">
        <v>314</v>
      </c>
      <c r="E258" s="2" t="s">
        <v>315</v>
      </c>
      <c r="F258" s="2">
        <v>8.3000000000000007</v>
      </c>
      <c r="G258" s="2">
        <v>747</v>
      </c>
      <c r="H258" s="2">
        <v>1162</v>
      </c>
      <c r="I258" s="2">
        <v>339</v>
      </c>
      <c r="J258" s="2">
        <v>41</v>
      </c>
      <c r="K258" s="2">
        <v>7.0000000000000001E-3</v>
      </c>
      <c r="L258" s="2">
        <v>28</v>
      </c>
      <c r="M258" s="2" t="str">
        <f t="shared" si="16"/>
        <v>Safe</v>
      </c>
      <c r="N258" s="2" t="str">
        <f t="shared" si="17"/>
        <v>Safe</v>
      </c>
      <c r="O258" s="2" t="str">
        <f t="shared" si="18"/>
        <v>Safe</v>
      </c>
      <c r="P258" s="2" t="str">
        <f t="shared" si="19"/>
        <v>Safe</v>
      </c>
    </row>
    <row r="259" spans="1:16" x14ac:dyDescent="0.35">
      <c r="A259" s="2" t="s">
        <v>268</v>
      </c>
      <c r="B259" s="3">
        <v>44737</v>
      </c>
      <c r="C259" s="3" t="str">
        <f t="shared" ref="C259:C301" si="20">TEXT(B259,"mmm")</f>
        <v>Jun</v>
      </c>
      <c r="D259" s="2" t="s">
        <v>317</v>
      </c>
      <c r="E259" s="2" t="s">
        <v>315</v>
      </c>
      <c r="F259" s="2">
        <v>6.9</v>
      </c>
      <c r="G259" s="2">
        <v>1157</v>
      </c>
      <c r="H259" s="2">
        <v>1095</v>
      </c>
      <c r="I259" s="2">
        <v>75</v>
      </c>
      <c r="J259" s="2">
        <v>13</v>
      </c>
      <c r="K259" s="2">
        <v>1E-3</v>
      </c>
      <c r="L259" s="2">
        <v>35</v>
      </c>
      <c r="M259" s="2" t="str">
        <f t="shared" ref="M259:M301" si="21">IF(OR(F259&lt;6.5,F259&gt;8.5),"Unsafe","Safe")</f>
        <v>Safe</v>
      </c>
      <c r="N259" s="2" t="str">
        <f t="shared" ref="N259:N301" si="22">IF(J259&gt;50,"Unsafe","Safe")</f>
        <v>Safe</v>
      </c>
      <c r="O259" s="2" t="str">
        <f t="shared" ref="O259:O301" si="23">IF(K259&gt;0.01,"Unsafe","Safe")</f>
        <v>Safe</v>
      </c>
      <c r="P259" s="2" t="str">
        <f t="shared" ref="P259:P301" si="24">IF(OR(M259="Unsafe",N259="Unsafe",O259="Unsafe"),"Contaminated","Safe")</f>
        <v>Safe</v>
      </c>
    </row>
    <row r="260" spans="1:16" x14ac:dyDescent="0.35">
      <c r="A260" s="2" t="s">
        <v>269</v>
      </c>
      <c r="B260" s="3">
        <v>44570</v>
      </c>
      <c r="C260" s="3" t="str">
        <f t="shared" si="20"/>
        <v>Jan</v>
      </c>
      <c r="D260" s="2" t="s">
        <v>311</v>
      </c>
      <c r="E260" s="2" t="s">
        <v>315</v>
      </c>
      <c r="F260" s="2">
        <v>8.8000000000000007</v>
      </c>
      <c r="G260" s="2">
        <v>1609</v>
      </c>
      <c r="H260" s="2">
        <v>396</v>
      </c>
      <c r="I260" s="2">
        <v>218</v>
      </c>
      <c r="J260" s="2">
        <v>58</v>
      </c>
      <c r="K260" s="2">
        <v>1.7999999999999999E-2</v>
      </c>
      <c r="L260" s="2">
        <v>25</v>
      </c>
      <c r="M260" s="2" t="str">
        <f t="shared" si="21"/>
        <v>Unsafe</v>
      </c>
      <c r="N260" s="2" t="str">
        <f t="shared" si="22"/>
        <v>Unsafe</v>
      </c>
      <c r="O260" s="2" t="str">
        <f t="shared" si="23"/>
        <v>Unsafe</v>
      </c>
      <c r="P260" s="2" t="str">
        <f t="shared" si="24"/>
        <v>Contaminated</v>
      </c>
    </row>
    <row r="261" spans="1:16" x14ac:dyDescent="0.35">
      <c r="A261" s="2" t="s">
        <v>270</v>
      </c>
      <c r="B261" s="3">
        <v>44917</v>
      </c>
      <c r="C261" s="3" t="str">
        <f t="shared" si="20"/>
        <v>Dec</v>
      </c>
      <c r="D261" s="2" t="s">
        <v>314</v>
      </c>
      <c r="E261" s="2" t="s">
        <v>318</v>
      </c>
      <c r="F261" s="2">
        <v>8.9</v>
      </c>
      <c r="G261" s="2">
        <v>684</v>
      </c>
      <c r="H261" s="2">
        <v>568</v>
      </c>
      <c r="I261" s="2">
        <v>221</v>
      </c>
      <c r="J261" s="2">
        <v>80</v>
      </c>
      <c r="K261" s="2">
        <v>1.4999999999999999E-2</v>
      </c>
      <c r="L261" s="2">
        <v>25</v>
      </c>
      <c r="M261" s="2" t="str">
        <f t="shared" si="21"/>
        <v>Unsafe</v>
      </c>
      <c r="N261" s="2" t="str">
        <f t="shared" si="22"/>
        <v>Unsafe</v>
      </c>
      <c r="O261" s="2" t="str">
        <f t="shared" si="23"/>
        <v>Unsafe</v>
      </c>
      <c r="P261" s="2" t="str">
        <f t="shared" si="24"/>
        <v>Contaminated</v>
      </c>
    </row>
    <row r="262" spans="1:16" x14ac:dyDescent="0.35">
      <c r="A262" s="2" t="s">
        <v>271</v>
      </c>
      <c r="B262" s="3">
        <v>44684</v>
      </c>
      <c r="C262" s="3" t="str">
        <f t="shared" si="20"/>
        <v>May</v>
      </c>
      <c r="D262" s="2" t="s">
        <v>316</v>
      </c>
      <c r="E262" s="2" t="s">
        <v>315</v>
      </c>
      <c r="F262" s="2">
        <v>7.6</v>
      </c>
      <c r="G262" s="2">
        <v>520</v>
      </c>
      <c r="H262" s="2">
        <v>529</v>
      </c>
      <c r="I262" s="2">
        <v>165</v>
      </c>
      <c r="J262" s="2">
        <v>58</v>
      </c>
      <c r="K262" s="2">
        <v>1.2E-2</v>
      </c>
      <c r="L262" s="2">
        <v>25</v>
      </c>
      <c r="M262" s="2" t="str">
        <f t="shared" si="21"/>
        <v>Safe</v>
      </c>
      <c r="N262" s="2" t="str">
        <f t="shared" si="22"/>
        <v>Unsafe</v>
      </c>
      <c r="O262" s="2" t="str">
        <f t="shared" si="23"/>
        <v>Unsafe</v>
      </c>
      <c r="P262" s="2" t="str">
        <f t="shared" si="24"/>
        <v>Contaminated</v>
      </c>
    </row>
    <row r="263" spans="1:16" x14ac:dyDescent="0.35">
      <c r="A263" s="2" t="s">
        <v>272</v>
      </c>
      <c r="B263" s="3">
        <v>44738</v>
      </c>
      <c r="C263" s="3" t="str">
        <f t="shared" si="20"/>
        <v>Jun</v>
      </c>
      <c r="D263" s="2" t="s">
        <v>314</v>
      </c>
      <c r="E263" s="2" t="s">
        <v>312</v>
      </c>
      <c r="F263" s="2">
        <v>9</v>
      </c>
      <c r="G263" s="2">
        <v>622</v>
      </c>
      <c r="H263" s="2">
        <v>1129</v>
      </c>
      <c r="I263" s="2">
        <v>169</v>
      </c>
      <c r="J263" s="2">
        <v>53</v>
      </c>
      <c r="K263" s="2">
        <v>3.0000000000000001E-3</v>
      </c>
      <c r="L263" s="2">
        <v>12</v>
      </c>
      <c r="M263" s="2" t="str">
        <f t="shared" si="21"/>
        <v>Unsafe</v>
      </c>
      <c r="N263" s="2" t="str">
        <f t="shared" si="22"/>
        <v>Unsafe</v>
      </c>
      <c r="O263" s="2" t="str">
        <f t="shared" si="23"/>
        <v>Safe</v>
      </c>
      <c r="P263" s="2" t="str">
        <f t="shared" si="24"/>
        <v>Contaminated</v>
      </c>
    </row>
    <row r="264" spans="1:16" x14ac:dyDescent="0.35">
      <c r="A264" s="2" t="s">
        <v>273</v>
      </c>
      <c r="B264" s="3">
        <v>44731</v>
      </c>
      <c r="C264" s="3" t="str">
        <f t="shared" si="20"/>
        <v>Jun</v>
      </c>
      <c r="D264" s="2" t="s">
        <v>314</v>
      </c>
      <c r="E264" s="2" t="s">
        <v>315</v>
      </c>
      <c r="F264" s="2">
        <v>7.1</v>
      </c>
      <c r="G264" s="2">
        <v>1152</v>
      </c>
      <c r="H264" s="2">
        <v>273</v>
      </c>
      <c r="I264" s="2">
        <v>328</v>
      </c>
      <c r="J264" s="2">
        <v>54</v>
      </c>
      <c r="K264" s="2">
        <v>8.0000000000000002E-3</v>
      </c>
      <c r="L264" s="2">
        <v>12</v>
      </c>
      <c r="M264" s="2" t="str">
        <f t="shared" si="21"/>
        <v>Safe</v>
      </c>
      <c r="N264" s="2" t="str">
        <f t="shared" si="22"/>
        <v>Unsafe</v>
      </c>
      <c r="O264" s="2" t="str">
        <f t="shared" si="23"/>
        <v>Safe</v>
      </c>
      <c r="P264" s="2" t="str">
        <f t="shared" si="24"/>
        <v>Contaminated</v>
      </c>
    </row>
    <row r="265" spans="1:16" x14ac:dyDescent="0.35">
      <c r="A265" s="2" t="s">
        <v>274</v>
      </c>
      <c r="B265" s="3">
        <v>44626</v>
      </c>
      <c r="C265" s="3" t="str">
        <f t="shared" si="20"/>
        <v>Mar</v>
      </c>
      <c r="D265" s="2" t="s">
        <v>314</v>
      </c>
      <c r="E265" s="2" t="s">
        <v>315</v>
      </c>
      <c r="F265" s="2">
        <v>7.8</v>
      </c>
      <c r="G265" s="2">
        <v>406</v>
      </c>
      <c r="H265" s="2">
        <v>778</v>
      </c>
      <c r="I265" s="2">
        <v>231</v>
      </c>
      <c r="J265" s="2">
        <v>38</v>
      </c>
      <c r="K265" s="2">
        <v>3.0000000000000001E-3</v>
      </c>
      <c r="L265" s="2">
        <v>34</v>
      </c>
      <c r="M265" s="2" t="str">
        <f t="shared" si="21"/>
        <v>Safe</v>
      </c>
      <c r="N265" s="2" t="str">
        <f t="shared" si="22"/>
        <v>Safe</v>
      </c>
      <c r="O265" s="2" t="str">
        <f t="shared" si="23"/>
        <v>Safe</v>
      </c>
      <c r="P265" s="2" t="str">
        <f t="shared" si="24"/>
        <v>Safe</v>
      </c>
    </row>
    <row r="266" spans="1:16" x14ac:dyDescent="0.35">
      <c r="A266" s="2" t="s">
        <v>275</v>
      </c>
      <c r="B266" s="3">
        <v>44642</v>
      </c>
      <c r="C266" s="3" t="str">
        <f t="shared" si="20"/>
        <v>Mar</v>
      </c>
      <c r="D266" s="2" t="s">
        <v>317</v>
      </c>
      <c r="E266" s="2" t="s">
        <v>312</v>
      </c>
      <c r="F266" s="2">
        <v>8.4</v>
      </c>
      <c r="G266" s="2">
        <v>1442</v>
      </c>
      <c r="H266" s="2">
        <v>278</v>
      </c>
      <c r="I266" s="2">
        <v>251</v>
      </c>
      <c r="J266" s="2">
        <v>70</v>
      </c>
      <c r="K266" s="2">
        <v>1.4999999999999999E-2</v>
      </c>
      <c r="L266" s="2">
        <v>14</v>
      </c>
      <c r="M266" s="2" t="str">
        <f t="shared" si="21"/>
        <v>Safe</v>
      </c>
      <c r="N266" s="2" t="str">
        <f t="shared" si="22"/>
        <v>Unsafe</v>
      </c>
      <c r="O266" s="2" t="str">
        <f t="shared" si="23"/>
        <v>Unsafe</v>
      </c>
      <c r="P266" s="2" t="str">
        <f t="shared" si="24"/>
        <v>Contaminated</v>
      </c>
    </row>
    <row r="267" spans="1:16" x14ac:dyDescent="0.35">
      <c r="A267" s="2" t="s">
        <v>276</v>
      </c>
      <c r="B267" s="3">
        <v>44719</v>
      </c>
      <c r="C267" s="3" t="str">
        <f t="shared" si="20"/>
        <v>Jun</v>
      </c>
      <c r="D267" s="2" t="s">
        <v>316</v>
      </c>
      <c r="E267" s="2" t="s">
        <v>315</v>
      </c>
      <c r="F267" s="2">
        <v>7.8</v>
      </c>
      <c r="G267" s="2">
        <v>985</v>
      </c>
      <c r="H267" s="2">
        <v>651</v>
      </c>
      <c r="I267" s="2">
        <v>296</v>
      </c>
      <c r="J267" s="2">
        <v>13</v>
      </c>
      <c r="K267" s="2">
        <v>0.02</v>
      </c>
      <c r="L267" s="2">
        <v>20</v>
      </c>
      <c r="M267" s="2" t="str">
        <f t="shared" si="21"/>
        <v>Safe</v>
      </c>
      <c r="N267" s="2" t="str">
        <f t="shared" si="22"/>
        <v>Safe</v>
      </c>
      <c r="O267" s="2" t="str">
        <f t="shared" si="23"/>
        <v>Unsafe</v>
      </c>
      <c r="P267" s="2" t="str">
        <f t="shared" si="24"/>
        <v>Contaminated</v>
      </c>
    </row>
    <row r="268" spans="1:16" x14ac:dyDescent="0.35">
      <c r="A268" s="2" t="s">
        <v>277</v>
      </c>
      <c r="B268" s="3">
        <v>44647</v>
      </c>
      <c r="C268" s="3" t="str">
        <f t="shared" si="20"/>
        <v>Mar</v>
      </c>
      <c r="D268" s="2" t="s">
        <v>314</v>
      </c>
      <c r="E268" s="2" t="s">
        <v>315</v>
      </c>
      <c r="F268" s="2">
        <v>7.6</v>
      </c>
      <c r="G268" s="2">
        <v>634</v>
      </c>
      <c r="H268" s="2">
        <v>623</v>
      </c>
      <c r="I268" s="2">
        <v>202</v>
      </c>
      <c r="J268" s="2">
        <v>30</v>
      </c>
      <c r="K268" s="2">
        <v>1E-3</v>
      </c>
      <c r="L268" s="2">
        <v>28</v>
      </c>
      <c r="M268" s="2" t="str">
        <f t="shared" si="21"/>
        <v>Safe</v>
      </c>
      <c r="N268" s="2" t="str">
        <f t="shared" si="22"/>
        <v>Safe</v>
      </c>
      <c r="O268" s="2" t="str">
        <f t="shared" si="23"/>
        <v>Safe</v>
      </c>
      <c r="P268" s="2" t="str">
        <f t="shared" si="24"/>
        <v>Safe</v>
      </c>
    </row>
    <row r="269" spans="1:16" x14ac:dyDescent="0.35">
      <c r="A269" s="2" t="s">
        <v>278</v>
      </c>
      <c r="B269" s="3">
        <v>44814</v>
      </c>
      <c r="C269" s="3" t="str">
        <f t="shared" si="20"/>
        <v>Sep</v>
      </c>
      <c r="D269" s="2" t="s">
        <v>316</v>
      </c>
      <c r="E269" s="2" t="s">
        <v>312</v>
      </c>
      <c r="F269" s="2">
        <v>8.5</v>
      </c>
      <c r="G269" s="2">
        <v>801</v>
      </c>
      <c r="H269" s="2">
        <v>1185</v>
      </c>
      <c r="I269" s="2">
        <v>239</v>
      </c>
      <c r="J269" s="2">
        <v>20</v>
      </c>
      <c r="K269" s="2">
        <v>1.4E-2</v>
      </c>
      <c r="L269" s="2">
        <v>35</v>
      </c>
      <c r="M269" s="2" t="str">
        <f t="shared" si="21"/>
        <v>Safe</v>
      </c>
      <c r="N269" s="2" t="str">
        <f t="shared" si="22"/>
        <v>Safe</v>
      </c>
      <c r="O269" s="2" t="str">
        <f t="shared" si="23"/>
        <v>Unsafe</v>
      </c>
      <c r="P269" s="2" t="str">
        <f t="shared" si="24"/>
        <v>Contaminated</v>
      </c>
    </row>
    <row r="270" spans="1:16" x14ac:dyDescent="0.35">
      <c r="A270" s="2" t="s">
        <v>279</v>
      </c>
      <c r="B270" s="3">
        <v>44899</v>
      </c>
      <c r="C270" s="3" t="str">
        <f t="shared" si="20"/>
        <v>Dec</v>
      </c>
      <c r="D270" s="2" t="s">
        <v>314</v>
      </c>
      <c r="E270" s="2" t="s">
        <v>318</v>
      </c>
      <c r="F270" s="2">
        <v>6.3</v>
      </c>
      <c r="G270" s="2">
        <v>1562</v>
      </c>
      <c r="H270" s="2">
        <v>168</v>
      </c>
      <c r="I270" s="2">
        <v>89</v>
      </c>
      <c r="J270" s="2">
        <v>2</v>
      </c>
      <c r="K270" s="2">
        <v>5.0000000000000001E-3</v>
      </c>
      <c r="L270" s="2">
        <v>35</v>
      </c>
      <c r="M270" s="2" t="str">
        <f t="shared" si="21"/>
        <v>Unsafe</v>
      </c>
      <c r="N270" s="2" t="str">
        <f t="shared" si="22"/>
        <v>Safe</v>
      </c>
      <c r="O270" s="2" t="str">
        <f t="shared" si="23"/>
        <v>Safe</v>
      </c>
      <c r="P270" s="2" t="str">
        <f t="shared" si="24"/>
        <v>Contaminated</v>
      </c>
    </row>
    <row r="271" spans="1:16" x14ac:dyDescent="0.35">
      <c r="A271" s="2" t="s">
        <v>280</v>
      </c>
      <c r="B271" s="3">
        <v>44918</v>
      </c>
      <c r="C271" s="3" t="str">
        <f t="shared" si="20"/>
        <v>Dec</v>
      </c>
      <c r="D271" s="2" t="s">
        <v>314</v>
      </c>
      <c r="E271" s="2" t="s">
        <v>318</v>
      </c>
      <c r="F271" s="2">
        <v>7.5</v>
      </c>
      <c r="G271" s="2">
        <v>770</v>
      </c>
      <c r="H271" s="2">
        <v>362</v>
      </c>
      <c r="I271" s="2">
        <v>114</v>
      </c>
      <c r="J271" s="2">
        <v>3</v>
      </c>
      <c r="K271" s="2">
        <v>4.0000000000000001E-3</v>
      </c>
      <c r="L271" s="2">
        <v>26</v>
      </c>
      <c r="M271" s="2" t="str">
        <f t="shared" si="21"/>
        <v>Safe</v>
      </c>
      <c r="N271" s="2" t="str">
        <f t="shared" si="22"/>
        <v>Safe</v>
      </c>
      <c r="O271" s="2" t="str">
        <f t="shared" si="23"/>
        <v>Safe</v>
      </c>
      <c r="P271" s="2" t="str">
        <f t="shared" si="24"/>
        <v>Safe</v>
      </c>
    </row>
    <row r="272" spans="1:16" x14ac:dyDescent="0.35">
      <c r="A272" s="2" t="s">
        <v>281</v>
      </c>
      <c r="B272" s="3">
        <v>44727</v>
      </c>
      <c r="C272" s="3" t="str">
        <f t="shared" si="20"/>
        <v>Jun</v>
      </c>
      <c r="D272" s="2" t="s">
        <v>314</v>
      </c>
      <c r="E272" s="2" t="s">
        <v>318</v>
      </c>
      <c r="F272" s="2">
        <v>6.5</v>
      </c>
      <c r="G272" s="2">
        <v>1255</v>
      </c>
      <c r="H272" s="2">
        <v>1058</v>
      </c>
      <c r="I272" s="2">
        <v>135</v>
      </c>
      <c r="J272" s="2">
        <v>46</v>
      </c>
      <c r="K272" s="2">
        <v>1.9E-2</v>
      </c>
      <c r="L272" s="2">
        <v>26</v>
      </c>
      <c r="M272" s="2" t="str">
        <f t="shared" si="21"/>
        <v>Safe</v>
      </c>
      <c r="N272" s="2" t="str">
        <f t="shared" si="22"/>
        <v>Safe</v>
      </c>
      <c r="O272" s="2" t="str">
        <f t="shared" si="23"/>
        <v>Unsafe</v>
      </c>
      <c r="P272" s="2" t="str">
        <f t="shared" si="24"/>
        <v>Contaminated</v>
      </c>
    </row>
    <row r="273" spans="1:16" x14ac:dyDescent="0.35">
      <c r="A273" s="2" t="s">
        <v>282</v>
      </c>
      <c r="B273" s="3">
        <v>44849</v>
      </c>
      <c r="C273" s="3" t="str">
        <f t="shared" si="20"/>
        <v>Oct</v>
      </c>
      <c r="D273" s="2" t="s">
        <v>314</v>
      </c>
      <c r="E273" s="2" t="s">
        <v>312</v>
      </c>
      <c r="F273" s="2">
        <v>6.6</v>
      </c>
      <c r="G273" s="2">
        <v>428</v>
      </c>
      <c r="H273" s="2">
        <v>1011</v>
      </c>
      <c r="I273" s="2">
        <v>94</v>
      </c>
      <c r="J273" s="2">
        <v>65</v>
      </c>
      <c r="K273" s="2">
        <v>0.01</v>
      </c>
      <c r="L273" s="2">
        <v>20</v>
      </c>
      <c r="M273" s="2" t="str">
        <f t="shared" si="21"/>
        <v>Safe</v>
      </c>
      <c r="N273" s="2" t="str">
        <f t="shared" si="22"/>
        <v>Unsafe</v>
      </c>
      <c r="O273" s="2" t="str">
        <f t="shared" si="23"/>
        <v>Safe</v>
      </c>
      <c r="P273" s="2" t="str">
        <f t="shared" si="24"/>
        <v>Contaminated</v>
      </c>
    </row>
    <row r="274" spans="1:16" x14ac:dyDescent="0.35">
      <c r="A274" s="2" t="s">
        <v>283</v>
      </c>
      <c r="B274" s="3">
        <v>44815</v>
      </c>
      <c r="C274" s="3" t="str">
        <f t="shared" si="20"/>
        <v>Sep</v>
      </c>
      <c r="D274" s="2" t="s">
        <v>316</v>
      </c>
      <c r="E274" s="2" t="s">
        <v>315</v>
      </c>
      <c r="F274" s="2">
        <v>8.3000000000000007</v>
      </c>
      <c r="G274" s="2">
        <v>288</v>
      </c>
      <c r="H274" s="2">
        <v>767</v>
      </c>
      <c r="I274" s="2">
        <v>140</v>
      </c>
      <c r="J274" s="2">
        <v>78</v>
      </c>
      <c r="K274" s="2">
        <v>8.0000000000000002E-3</v>
      </c>
      <c r="L274" s="2">
        <v>22</v>
      </c>
      <c r="M274" s="2" t="str">
        <f t="shared" si="21"/>
        <v>Safe</v>
      </c>
      <c r="N274" s="2" t="str">
        <f t="shared" si="22"/>
        <v>Unsafe</v>
      </c>
      <c r="O274" s="2" t="str">
        <f t="shared" si="23"/>
        <v>Safe</v>
      </c>
      <c r="P274" s="2" t="str">
        <f t="shared" si="24"/>
        <v>Contaminated</v>
      </c>
    </row>
    <row r="275" spans="1:16" x14ac:dyDescent="0.35">
      <c r="A275" s="2" t="s">
        <v>284</v>
      </c>
      <c r="B275" s="3">
        <v>44882</v>
      </c>
      <c r="C275" s="3" t="str">
        <f t="shared" si="20"/>
        <v>Nov</v>
      </c>
      <c r="D275" s="2" t="s">
        <v>313</v>
      </c>
      <c r="E275" s="2" t="s">
        <v>315</v>
      </c>
      <c r="F275" s="2">
        <v>7.2</v>
      </c>
      <c r="G275" s="2">
        <v>324</v>
      </c>
      <c r="H275" s="2">
        <v>249</v>
      </c>
      <c r="I275" s="2">
        <v>284</v>
      </c>
      <c r="J275" s="2">
        <v>4</v>
      </c>
      <c r="K275" s="2">
        <v>1.9E-2</v>
      </c>
      <c r="L275" s="2">
        <v>20</v>
      </c>
      <c r="M275" s="2" t="str">
        <f t="shared" si="21"/>
        <v>Safe</v>
      </c>
      <c r="N275" s="2" t="str">
        <f t="shared" si="22"/>
        <v>Safe</v>
      </c>
      <c r="O275" s="2" t="str">
        <f t="shared" si="23"/>
        <v>Unsafe</v>
      </c>
      <c r="P275" s="2" t="str">
        <f t="shared" si="24"/>
        <v>Contaminated</v>
      </c>
    </row>
    <row r="276" spans="1:16" x14ac:dyDescent="0.35">
      <c r="A276" s="2" t="s">
        <v>285</v>
      </c>
      <c r="B276" s="3">
        <v>44724</v>
      </c>
      <c r="C276" s="3" t="str">
        <f t="shared" si="20"/>
        <v>Jun</v>
      </c>
      <c r="D276" s="2" t="s">
        <v>316</v>
      </c>
      <c r="E276" s="2" t="s">
        <v>318</v>
      </c>
      <c r="F276" s="2">
        <v>6.3</v>
      </c>
      <c r="G276" s="2">
        <v>1777</v>
      </c>
      <c r="H276" s="2">
        <v>926</v>
      </c>
      <c r="I276" s="2">
        <v>282</v>
      </c>
      <c r="J276" s="2">
        <v>36</v>
      </c>
      <c r="K276" s="2">
        <v>1.2999999999999999E-2</v>
      </c>
      <c r="L276" s="2">
        <v>14</v>
      </c>
      <c r="M276" s="2" t="str">
        <f t="shared" si="21"/>
        <v>Unsafe</v>
      </c>
      <c r="N276" s="2" t="str">
        <f t="shared" si="22"/>
        <v>Safe</v>
      </c>
      <c r="O276" s="2" t="str">
        <f t="shared" si="23"/>
        <v>Unsafe</v>
      </c>
      <c r="P276" s="2" t="str">
        <f t="shared" si="24"/>
        <v>Contaminated</v>
      </c>
    </row>
    <row r="277" spans="1:16" x14ac:dyDescent="0.35">
      <c r="A277" s="2" t="s">
        <v>286</v>
      </c>
      <c r="B277" s="3">
        <v>44602</v>
      </c>
      <c r="C277" s="3" t="str">
        <f t="shared" si="20"/>
        <v>Feb</v>
      </c>
      <c r="D277" s="2" t="s">
        <v>316</v>
      </c>
      <c r="E277" s="2" t="s">
        <v>312</v>
      </c>
      <c r="F277" s="2">
        <v>8.1999999999999993</v>
      </c>
      <c r="G277" s="2">
        <v>1041</v>
      </c>
      <c r="H277" s="2">
        <v>674</v>
      </c>
      <c r="I277" s="2">
        <v>351</v>
      </c>
      <c r="J277" s="2">
        <v>80</v>
      </c>
      <c r="K277" s="2">
        <v>8.9999999999999993E-3</v>
      </c>
      <c r="L277" s="2">
        <v>31</v>
      </c>
      <c r="M277" s="2" t="str">
        <f t="shared" si="21"/>
        <v>Safe</v>
      </c>
      <c r="N277" s="2" t="str">
        <f t="shared" si="22"/>
        <v>Unsafe</v>
      </c>
      <c r="O277" s="2" t="str">
        <f t="shared" si="23"/>
        <v>Safe</v>
      </c>
      <c r="P277" s="2" t="str">
        <f t="shared" si="24"/>
        <v>Contaminated</v>
      </c>
    </row>
    <row r="278" spans="1:16" x14ac:dyDescent="0.35">
      <c r="A278" s="2" t="s">
        <v>287</v>
      </c>
      <c r="B278" s="3">
        <v>44875</v>
      </c>
      <c r="C278" s="3" t="str">
        <f t="shared" si="20"/>
        <v>Nov</v>
      </c>
      <c r="D278" s="2" t="s">
        <v>317</v>
      </c>
      <c r="E278" s="2" t="s">
        <v>312</v>
      </c>
      <c r="F278" s="2">
        <v>6.8</v>
      </c>
      <c r="G278" s="2">
        <v>939</v>
      </c>
      <c r="H278" s="2">
        <v>557</v>
      </c>
      <c r="I278" s="2">
        <v>275</v>
      </c>
      <c r="J278" s="2">
        <v>10</v>
      </c>
      <c r="K278" s="2">
        <v>0.02</v>
      </c>
      <c r="L278" s="2">
        <v>18</v>
      </c>
      <c r="M278" s="2" t="str">
        <f t="shared" si="21"/>
        <v>Safe</v>
      </c>
      <c r="N278" s="2" t="str">
        <f t="shared" si="22"/>
        <v>Safe</v>
      </c>
      <c r="O278" s="2" t="str">
        <f t="shared" si="23"/>
        <v>Unsafe</v>
      </c>
      <c r="P278" s="2" t="str">
        <f t="shared" si="24"/>
        <v>Contaminated</v>
      </c>
    </row>
    <row r="279" spans="1:16" x14ac:dyDescent="0.35">
      <c r="A279" s="2" t="s">
        <v>288</v>
      </c>
      <c r="B279" s="3">
        <v>44714</v>
      </c>
      <c r="C279" s="3" t="str">
        <f t="shared" si="20"/>
        <v>Jun</v>
      </c>
      <c r="D279" s="2" t="s">
        <v>311</v>
      </c>
      <c r="E279" s="2" t="s">
        <v>312</v>
      </c>
      <c r="F279" s="2">
        <v>8.1</v>
      </c>
      <c r="G279" s="2">
        <v>1141</v>
      </c>
      <c r="H279" s="2">
        <v>847</v>
      </c>
      <c r="I279" s="2">
        <v>227</v>
      </c>
      <c r="J279" s="2">
        <v>61</v>
      </c>
      <c r="K279" s="2">
        <v>8.0000000000000002E-3</v>
      </c>
      <c r="L279" s="2">
        <v>22</v>
      </c>
      <c r="M279" s="2" t="str">
        <f t="shared" si="21"/>
        <v>Safe</v>
      </c>
      <c r="N279" s="2" t="str">
        <f t="shared" si="22"/>
        <v>Unsafe</v>
      </c>
      <c r="O279" s="2" t="str">
        <f t="shared" si="23"/>
        <v>Safe</v>
      </c>
      <c r="P279" s="2" t="str">
        <f t="shared" si="24"/>
        <v>Contaminated</v>
      </c>
    </row>
    <row r="280" spans="1:16" x14ac:dyDescent="0.35">
      <c r="A280" s="2" t="s">
        <v>289</v>
      </c>
      <c r="B280" s="3">
        <v>44829</v>
      </c>
      <c r="C280" s="3" t="str">
        <f t="shared" si="20"/>
        <v>Sep</v>
      </c>
      <c r="D280" s="2" t="s">
        <v>311</v>
      </c>
      <c r="E280" s="2" t="s">
        <v>318</v>
      </c>
      <c r="F280" s="2">
        <v>8.8000000000000007</v>
      </c>
      <c r="G280" s="2">
        <v>253</v>
      </c>
      <c r="H280" s="2">
        <v>875</v>
      </c>
      <c r="I280" s="2">
        <v>156</v>
      </c>
      <c r="J280" s="2">
        <v>21</v>
      </c>
      <c r="K280" s="2">
        <v>3.0000000000000001E-3</v>
      </c>
      <c r="L280" s="2">
        <v>11</v>
      </c>
      <c r="M280" s="2" t="str">
        <f t="shared" si="21"/>
        <v>Unsafe</v>
      </c>
      <c r="N280" s="2" t="str">
        <f t="shared" si="22"/>
        <v>Safe</v>
      </c>
      <c r="O280" s="2" t="str">
        <f t="shared" si="23"/>
        <v>Safe</v>
      </c>
      <c r="P280" s="2" t="str">
        <f t="shared" si="24"/>
        <v>Contaminated</v>
      </c>
    </row>
    <row r="281" spans="1:16" x14ac:dyDescent="0.35">
      <c r="A281" s="2" t="s">
        <v>290</v>
      </c>
      <c r="B281" s="3">
        <v>44765</v>
      </c>
      <c r="C281" s="3" t="str">
        <f t="shared" si="20"/>
        <v>Jul</v>
      </c>
      <c r="D281" s="2" t="s">
        <v>316</v>
      </c>
      <c r="E281" s="2" t="s">
        <v>318</v>
      </c>
      <c r="F281" s="2">
        <v>7.4</v>
      </c>
      <c r="G281" s="2">
        <v>1175</v>
      </c>
      <c r="H281" s="2">
        <v>972</v>
      </c>
      <c r="I281" s="2">
        <v>85</v>
      </c>
      <c r="J281" s="2">
        <v>49</v>
      </c>
      <c r="K281" s="2">
        <v>8.9999999999999993E-3</v>
      </c>
      <c r="L281" s="2">
        <v>11</v>
      </c>
      <c r="M281" s="2" t="str">
        <f t="shared" si="21"/>
        <v>Safe</v>
      </c>
      <c r="N281" s="2" t="str">
        <f t="shared" si="22"/>
        <v>Safe</v>
      </c>
      <c r="O281" s="2" t="str">
        <f t="shared" si="23"/>
        <v>Safe</v>
      </c>
      <c r="P281" s="2" t="str">
        <f t="shared" si="24"/>
        <v>Safe</v>
      </c>
    </row>
    <row r="282" spans="1:16" x14ac:dyDescent="0.35">
      <c r="A282" s="2" t="s">
        <v>291</v>
      </c>
      <c r="B282" s="3">
        <v>44819</v>
      </c>
      <c r="C282" s="3" t="str">
        <f t="shared" si="20"/>
        <v>Sep</v>
      </c>
      <c r="D282" s="2" t="s">
        <v>317</v>
      </c>
      <c r="E282" s="2" t="s">
        <v>315</v>
      </c>
      <c r="F282" s="2">
        <v>8.4</v>
      </c>
      <c r="G282" s="2">
        <v>361</v>
      </c>
      <c r="H282" s="2">
        <v>748</v>
      </c>
      <c r="I282" s="2">
        <v>286</v>
      </c>
      <c r="J282" s="2">
        <v>37</v>
      </c>
      <c r="K282" s="2">
        <v>6.0000000000000001E-3</v>
      </c>
      <c r="L282" s="2">
        <v>30</v>
      </c>
      <c r="M282" s="2" t="str">
        <f t="shared" si="21"/>
        <v>Safe</v>
      </c>
      <c r="N282" s="2" t="str">
        <f t="shared" si="22"/>
        <v>Safe</v>
      </c>
      <c r="O282" s="2" t="str">
        <f t="shared" si="23"/>
        <v>Safe</v>
      </c>
      <c r="P282" s="2" t="str">
        <f t="shared" si="24"/>
        <v>Safe</v>
      </c>
    </row>
    <row r="283" spans="1:16" x14ac:dyDescent="0.35">
      <c r="A283" s="2" t="s">
        <v>292</v>
      </c>
      <c r="B283" s="3">
        <v>44768</v>
      </c>
      <c r="C283" s="3" t="str">
        <f t="shared" si="20"/>
        <v>Jul</v>
      </c>
      <c r="D283" s="2" t="s">
        <v>317</v>
      </c>
      <c r="E283" s="2" t="s">
        <v>318</v>
      </c>
      <c r="F283" s="2">
        <v>8.1</v>
      </c>
      <c r="G283" s="2">
        <v>212</v>
      </c>
      <c r="H283" s="2">
        <v>948</v>
      </c>
      <c r="I283" s="2">
        <v>335</v>
      </c>
      <c r="J283" s="2">
        <v>74</v>
      </c>
      <c r="K283" s="2">
        <v>3.0000000000000001E-3</v>
      </c>
      <c r="L283" s="2">
        <v>26</v>
      </c>
      <c r="M283" s="2" t="str">
        <f t="shared" si="21"/>
        <v>Safe</v>
      </c>
      <c r="N283" s="2" t="str">
        <f t="shared" si="22"/>
        <v>Unsafe</v>
      </c>
      <c r="O283" s="2" t="str">
        <f t="shared" si="23"/>
        <v>Safe</v>
      </c>
      <c r="P283" s="2" t="str">
        <f t="shared" si="24"/>
        <v>Contaminated</v>
      </c>
    </row>
    <row r="284" spans="1:16" x14ac:dyDescent="0.35">
      <c r="A284" s="2" t="s">
        <v>293</v>
      </c>
      <c r="B284" s="3">
        <v>44658</v>
      </c>
      <c r="C284" s="3" t="str">
        <f t="shared" si="20"/>
        <v>Apr</v>
      </c>
      <c r="D284" s="2" t="s">
        <v>313</v>
      </c>
      <c r="E284" s="2" t="s">
        <v>315</v>
      </c>
      <c r="F284" s="2">
        <v>6.7</v>
      </c>
      <c r="G284" s="2">
        <v>768</v>
      </c>
      <c r="H284" s="2">
        <v>1055</v>
      </c>
      <c r="I284" s="2">
        <v>384</v>
      </c>
      <c r="J284" s="2">
        <v>55</v>
      </c>
      <c r="K284" s="2">
        <v>0.02</v>
      </c>
      <c r="L284" s="2">
        <v>20</v>
      </c>
      <c r="M284" s="2" t="str">
        <f t="shared" si="21"/>
        <v>Safe</v>
      </c>
      <c r="N284" s="2" t="str">
        <f t="shared" si="22"/>
        <v>Unsafe</v>
      </c>
      <c r="O284" s="2" t="str">
        <f t="shared" si="23"/>
        <v>Unsafe</v>
      </c>
      <c r="P284" s="2" t="str">
        <f t="shared" si="24"/>
        <v>Contaminated</v>
      </c>
    </row>
    <row r="285" spans="1:16" x14ac:dyDescent="0.35">
      <c r="A285" s="2" t="s">
        <v>294</v>
      </c>
      <c r="B285" s="3">
        <v>44764</v>
      </c>
      <c r="C285" s="3" t="str">
        <f t="shared" si="20"/>
        <v>Jul</v>
      </c>
      <c r="D285" s="2" t="s">
        <v>316</v>
      </c>
      <c r="E285" s="2" t="s">
        <v>312</v>
      </c>
      <c r="F285" s="2">
        <v>6.1</v>
      </c>
      <c r="G285" s="2">
        <v>1598</v>
      </c>
      <c r="H285" s="2">
        <v>910</v>
      </c>
      <c r="I285" s="2">
        <v>233</v>
      </c>
      <c r="J285" s="2">
        <v>25</v>
      </c>
      <c r="K285" s="2">
        <v>1.2E-2</v>
      </c>
      <c r="L285" s="2">
        <v>33</v>
      </c>
      <c r="M285" s="2" t="str">
        <f t="shared" si="21"/>
        <v>Unsafe</v>
      </c>
      <c r="N285" s="2" t="str">
        <f t="shared" si="22"/>
        <v>Safe</v>
      </c>
      <c r="O285" s="2" t="str">
        <f t="shared" si="23"/>
        <v>Unsafe</v>
      </c>
      <c r="P285" s="2" t="str">
        <f t="shared" si="24"/>
        <v>Contaminated</v>
      </c>
    </row>
    <row r="286" spans="1:16" x14ac:dyDescent="0.35">
      <c r="A286" s="2" t="s">
        <v>295</v>
      </c>
      <c r="B286" s="3">
        <v>44699</v>
      </c>
      <c r="C286" s="3" t="str">
        <f t="shared" si="20"/>
        <v>May</v>
      </c>
      <c r="D286" s="2" t="s">
        <v>317</v>
      </c>
      <c r="E286" s="2" t="s">
        <v>312</v>
      </c>
      <c r="F286" s="2">
        <v>8.1</v>
      </c>
      <c r="G286" s="2">
        <v>605</v>
      </c>
      <c r="H286" s="2">
        <v>141</v>
      </c>
      <c r="I286" s="2">
        <v>135</v>
      </c>
      <c r="J286" s="2">
        <v>50</v>
      </c>
      <c r="K286" s="2">
        <v>2E-3</v>
      </c>
      <c r="L286" s="2">
        <v>32</v>
      </c>
      <c r="M286" s="2" t="str">
        <f t="shared" si="21"/>
        <v>Safe</v>
      </c>
      <c r="N286" s="2" t="str">
        <f t="shared" si="22"/>
        <v>Safe</v>
      </c>
      <c r="O286" s="2" t="str">
        <f t="shared" si="23"/>
        <v>Safe</v>
      </c>
      <c r="P286" s="2" t="str">
        <f t="shared" si="24"/>
        <v>Safe</v>
      </c>
    </row>
    <row r="287" spans="1:16" x14ac:dyDescent="0.35">
      <c r="A287" s="2" t="s">
        <v>296</v>
      </c>
      <c r="B287" s="3">
        <v>44624</v>
      </c>
      <c r="C287" s="3" t="str">
        <f t="shared" si="20"/>
        <v>Mar</v>
      </c>
      <c r="D287" s="2" t="s">
        <v>314</v>
      </c>
      <c r="E287" s="2" t="s">
        <v>312</v>
      </c>
      <c r="F287" s="2">
        <v>7</v>
      </c>
      <c r="G287" s="2">
        <v>209</v>
      </c>
      <c r="H287" s="2">
        <v>892</v>
      </c>
      <c r="I287" s="2">
        <v>313</v>
      </c>
      <c r="J287" s="2">
        <v>66</v>
      </c>
      <c r="K287" s="2">
        <v>5.0000000000000001E-3</v>
      </c>
      <c r="L287" s="2">
        <v>16</v>
      </c>
      <c r="M287" s="2" t="str">
        <f t="shared" si="21"/>
        <v>Safe</v>
      </c>
      <c r="N287" s="2" t="str">
        <f t="shared" si="22"/>
        <v>Unsafe</v>
      </c>
      <c r="O287" s="2" t="str">
        <f t="shared" si="23"/>
        <v>Safe</v>
      </c>
      <c r="P287" s="2" t="str">
        <f t="shared" si="24"/>
        <v>Contaminated</v>
      </c>
    </row>
    <row r="288" spans="1:16" x14ac:dyDescent="0.35">
      <c r="A288" s="2" t="s">
        <v>297</v>
      </c>
      <c r="B288" s="3">
        <v>44740</v>
      </c>
      <c r="C288" s="3" t="str">
        <f t="shared" si="20"/>
        <v>Jun</v>
      </c>
      <c r="D288" s="2" t="s">
        <v>314</v>
      </c>
      <c r="E288" s="2" t="s">
        <v>318</v>
      </c>
      <c r="F288" s="2">
        <v>7.5</v>
      </c>
      <c r="G288" s="2">
        <v>1134</v>
      </c>
      <c r="H288" s="2">
        <v>919</v>
      </c>
      <c r="I288" s="2">
        <v>282</v>
      </c>
      <c r="J288" s="2">
        <v>79</v>
      </c>
      <c r="K288" s="2">
        <v>7.0000000000000001E-3</v>
      </c>
      <c r="L288" s="2">
        <v>23</v>
      </c>
      <c r="M288" s="2" t="str">
        <f t="shared" si="21"/>
        <v>Safe</v>
      </c>
      <c r="N288" s="2" t="str">
        <f t="shared" si="22"/>
        <v>Unsafe</v>
      </c>
      <c r="O288" s="2" t="str">
        <f t="shared" si="23"/>
        <v>Safe</v>
      </c>
      <c r="P288" s="2" t="str">
        <f t="shared" si="24"/>
        <v>Contaminated</v>
      </c>
    </row>
    <row r="289" spans="1:16" x14ac:dyDescent="0.35">
      <c r="A289" s="2" t="s">
        <v>298</v>
      </c>
      <c r="B289" s="3">
        <v>44616</v>
      </c>
      <c r="C289" s="3" t="str">
        <f t="shared" si="20"/>
        <v>Feb</v>
      </c>
      <c r="D289" s="2" t="s">
        <v>317</v>
      </c>
      <c r="E289" s="2" t="s">
        <v>312</v>
      </c>
      <c r="F289" s="2">
        <v>8.6</v>
      </c>
      <c r="G289" s="2">
        <v>331</v>
      </c>
      <c r="H289" s="2">
        <v>420</v>
      </c>
      <c r="I289" s="2">
        <v>300</v>
      </c>
      <c r="J289" s="2">
        <v>64</v>
      </c>
      <c r="K289" s="2">
        <v>1.2999999999999999E-2</v>
      </c>
      <c r="L289" s="2">
        <v>26</v>
      </c>
      <c r="M289" s="2" t="str">
        <f t="shared" si="21"/>
        <v>Unsafe</v>
      </c>
      <c r="N289" s="2" t="str">
        <f t="shared" si="22"/>
        <v>Unsafe</v>
      </c>
      <c r="O289" s="2" t="str">
        <f t="shared" si="23"/>
        <v>Unsafe</v>
      </c>
      <c r="P289" s="2" t="str">
        <f t="shared" si="24"/>
        <v>Contaminated</v>
      </c>
    </row>
    <row r="290" spans="1:16" x14ac:dyDescent="0.35">
      <c r="A290" s="2" t="s">
        <v>299</v>
      </c>
      <c r="B290" s="3">
        <v>44806</v>
      </c>
      <c r="C290" s="3" t="str">
        <f t="shared" si="20"/>
        <v>Sep</v>
      </c>
      <c r="D290" s="2" t="s">
        <v>313</v>
      </c>
      <c r="E290" s="2" t="s">
        <v>318</v>
      </c>
      <c r="F290" s="2">
        <v>6.8</v>
      </c>
      <c r="G290" s="2">
        <v>1344</v>
      </c>
      <c r="H290" s="2">
        <v>499</v>
      </c>
      <c r="I290" s="2">
        <v>325</v>
      </c>
      <c r="J290" s="2">
        <v>69</v>
      </c>
      <c r="K290" s="2">
        <v>1.2999999999999999E-2</v>
      </c>
      <c r="L290" s="2">
        <v>29</v>
      </c>
      <c r="M290" s="2" t="str">
        <f t="shared" si="21"/>
        <v>Safe</v>
      </c>
      <c r="N290" s="2" t="str">
        <f t="shared" si="22"/>
        <v>Unsafe</v>
      </c>
      <c r="O290" s="2" t="str">
        <f t="shared" si="23"/>
        <v>Unsafe</v>
      </c>
      <c r="P290" s="2" t="str">
        <f t="shared" si="24"/>
        <v>Contaminated</v>
      </c>
    </row>
    <row r="291" spans="1:16" x14ac:dyDescent="0.35">
      <c r="A291" s="2" t="s">
        <v>300</v>
      </c>
      <c r="B291" s="3">
        <v>44714</v>
      </c>
      <c r="C291" s="3" t="str">
        <f t="shared" si="20"/>
        <v>Jun</v>
      </c>
      <c r="D291" s="2" t="s">
        <v>313</v>
      </c>
      <c r="E291" s="2" t="s">
        <v>312</v>
      </c>
      <c r="F291" s="2">
        <v>6.2</v>
      </c>
      <c r="G291" s="2">
        <v>999</v>
      </c>
      <c r="H291" s="2">
        <v>370</v>
      </c>
      <c r="I291" s="2">
        <v>257</v>
      </c>
      <c r="J291" s="2">
        <v>53</v>
      </c>
      <c r="K291" s="2">
        <v>1E-3</v>
      </c>
      <c r="L291" s="2">
        <v>22</v>
      </c>
      <c r="M291" s="2" t="str">
        <f t="shared" si="21"/>
        <v>Unsafe</v>
      </c>
      <c r="N291" s="2" t="str">
        <f t="shared" si="22"/>
        <v>Unsafe</v>
      </c>
      <c r="O291" s="2" t="str">
        <f t="shared" si="23"/>
        <v>Safe</v>
      </c>
      <c r="P291" s="2" t="str">
        <f t="shared" si="24"/>
        <v>Contaminated</v>
      </c>
    </row>
    <row r="292" spans="1:16" x14ac:dyDescent="0.35">
      <c r="A292" s="2" t="s">
        <v>301</v>
      </c>
      <c r="B292" s="3">
        <v>44721</v>
      </c>
      <c r="C292" s="3" t="str">
        <f t="shared" si="20"/>
        <v>Jun</v>
      </c>
      <c r="D292" s="2" t="s">
        <v>317</v>
      </c>
      <c r="E292" s="2" t="s">
        <v>315</v>
      </c>
      <c r="F292" s="2">
        <v>6.2</v>
      </c>
      <c r="G292" s="2">
        <v>673</v>
      </c>
      <c r="H292" s="2">
        <v>371</v>
      </c>
      <c r="I292" s="2">
        <v>220</v>
      </c>
      <c r="J292" s="2">
        <v>30</v>
      </c>
      <c r="K292" s="2">
        <v>3.0000000000000001E-3</v>
      </c>
      <c r="L292" s="2">
        <v>33</v>
      </c>
      <c r="M292" s="2" t="str">
        <f t="shared" si="21"/>
        <v>Unsafe</v>
      </c>
      <c r="N292" s="2" t="str">
        <f t="shared" si="22"/>
        <v>Safe</v>
      </c>
      <c r="O292" s="2" t="str">
        <f t="shared" si="23"/>
        <v>Safe</v>
      </c>
      <c r="P292" s="2" t="str">
        <f t="shared" si="24"/>
        <v>Contaminated</v>
      </c>
    </row>
    <row r="293" spans="1:16" x14ac:dyDescent="0.35">
      <c r="A293" s="2" t="s">
        <v>302</v>
      </c>
      <c r="B293" s="3">
        <v>44837</v>
      </c>
      <c r="C293" s="3" t="str">
        <f t="shared" si="20"/>
        <v>Oct</v>
      </c>
      <c r="D293" s="2" t="s">
        <v>316</v>
      </c>
      <c r="E293" s="2" t="s">
        <v>315</v>
      </c>
      <c r="F293" s="2">
        <v>6.2</v>
      </c>
      <c r="G293" s="2">
        <v>412</v>
      </c>
      <c r="H293" s="2">
        <v>788</v>
      </c>
      <c r="I293" s="2">
        <v>250</v>
      </c>
      <c r="J293" s="2">
        <v>59</v>
      </c>
      <c r="K293" s="2">
        <v>5.0000000000000001E-3</v>
      </c>
      <c r="L293" s="2">
        <v>19</v>
      </c>
      <c r="M293" s="2" t="str">
        <f t="shared" si="21"/>
        <v>Unsafe</v>
      </c>
      <c r="N293" s="2" t="str">
        <f t="shared" si="22"/>
        <v>Unsafe</v>
      </c>
      <c r="O293" s="2" t="str">
        <f t="shared" si="23"/>
        <v>Safe</v>
      </c>
      <c r="P293" s="2" t="str">
        <f t="shared" si="24"/>
        <v>Contaminated</v>
      </c>
    </row>
    <row r="294" spans="1:16" x14ac:dyDescent="0.35">
      <c r="A294" s="2" t="s">
        <v>303</v>
      </c>
      <c r="B294" s="3">
        <v>44843</v>
      </c>
      <c r="C294" s="3" t="str">
        <f t="shared" si="20"/>
        <v>Oct</v>
      </c>
      <c r="D294" s="2" t="s">
        <v>313</v>
      </c>
      <c r="E294" s="2" t="s">
        <v>315</v>
      </c>
      <c r="F294" s="2">
        <v>7.6</v>
      </c>
      <c r="G294" s="2">
        <v>936</v>
      </c>
      <c r="H294" s="2">
        <v>1037</v>
      </c>
      <c r="I294" s="2">
        <v>365</v>
      </c>
      <c r="J294" s="2">
        <v>11</v>
      </c>
      <c r="K294" s="2">
        <v>1.7000000000000001E-2</v>
      </c>
      <c r="L294" s="2">
        <v>35</v>
      </c>
      <c r="M294" s="2" t="str">
        <f t="shared" si="21"/>
        <v>Safe</v>
      </c>
      <c r="N294" s="2" t="str">
        <f t="shared" si="22"/>
        <v>Safe</v>
      </c>
      <c r="O294" s="2" t="str">
        <f t="shared" si="23"/>
        <v>Unsafe</v>
      </c>
      <c r="P294" s="2" t="str">
        <f t="shared" si="24"/>
        <v>Contaminated</v>
      </c>
    </row>
    <row r="295" spans="1:16" x14ac:dyDescent="0.35">
      <c r="A295" s="2" t="s">
        <v>304</v>
      </c>
      <c r="B295" s="3">
        <v>44652</v>
      </c>
      <c r="C295" s="3" t="str">
        <f t="shared" si="20"/>
        <v>Apr</v>
      </c>
      <c r="D295" s="2" t="s">
        <v>313</v>
      </c>
      <c r="E295" s="2" t="s">
        <v>312</v>
      </c>
      <c r="F295" s="2">
        <v>9</v>
      </c>
      <c r="G295" s="2">
        <v>1171</v>
      </c>
      <c r="H295" s="2">
        <v>255</v>
      </c>
      <c r="I295" s="2">
        <v>206</v>
      </c>
      <c r="J295" s="2">
        <v>39</v>
      </c>
      <c r="K295" s="2">
        <v>1.7000000000000001E-2</v>
      </c>
      <c r="L295" s="2">
        <v>12</v>
      </c>
      <c r="M295" s="2" t="str">
        <f t="shared" si="21"/>
        <v>Unsafe</v>
      </c>
      <c r="N295" s="2" t="str">
        <f t="shared" si="22"/>
        <v>Safe</v>
      </c>
      <c r="O295" s="2" t="str">
        <f t="shared" si="23"/>
        <v>Unsafe</v>
      </c>
      <c r="P295" s="2" t="str">
        <f t="shared" si="24"/>
        <v>Contaminated</v>
      </c>
    </row>
    <row r="296" spans="1:16" x14ac:dyDescent="0.35">
      <c r="A296" s="2" t="s">
        <v>305</v>
      </c>
      <c r="B296" s="3">
        <v>44672</v>
      </c>
      <c r="C296" s="3" t="str">
        <f t="shared" si="20"/>
        <v>Apr</v>
      </c>
      <c r="D296" s="2" t="s">
        <v>313</v>
      </c>
      <c r="E296" s="2" t="s">
        <v>318</v>
      </c>
      <c r="F296" s="2">
        <v>6.3</v>
      </c>
      <c r="G296" s="2">
        <v>255</v>
      </c>
      <c r="H296" s="2">
        <v>328</v>
      </c>
      <c r="I296" s="2">
        <v>276</v>
      </c>
      <c r="J296" s="2">
        <v>26</v>
      </c>
      <c r="K296" s="2">
        <v>0.01</v>
      </c>
      <c r="L296" s="2">
        <v>12</v>
      </c>
      <c r="M296" s="2" t="str">
        <f t="shared" si="21"/>
        <v>Unsafe</v>
      </c>
      <c r="N296" s="2" t="str">
        <f t="shared" si="22"/>
        <v>Safe</v>
      </c>
      <c r="O296" s="2" t="str">
        <f t="shared" si="23"/>
        <v>Safe</v>
      </c>
      <c r="P296" s="2" t="str">
        <f t="shared" si="24"/>
        <v>Contaminated</v>
      </c>
    </row>
    <row r="297" spans="1:16" x14ac:dyDescent="0.35">
      <c r="A297" s="2" t="s">
        <v>306</v>
      </c>
      <c r="B297" s="3">
        <v>44875</v>
      </c>
      <c r="C297" s="3" t="str">
        <f t="shared" si="20"/>
        <v>Nov</v>
      </c>
      <c r="D297" s="2" t="s">
        <v>313</v>
      </c>
      <c r="E297" s="2" t="s">
        <v>312</v>
      </c>
      <c r="F297" s="2">
        <v>7.9</v>
      </c>
      <c r="G297" s="2">
        <v>875</v>
      </c>
      <c r="H297" s="2">
        <v>440</v>
      </c>
      <c r="I297" s="2">
        <v>291</v>
      </c>
      <c r="J297" s="2">
        <v>35</v>
      </c>
      <c r="K297" s="2">
        <v>5.0000000000000001E-3</v>
      </c>
      <c r="L297" s="2">
        <v>25</v>
      </c>
      <c r="M297" s="2" t="str">
        <f t="shared" si="21"/>
        <v>Safe</v>
      </c>
      <c r="N297" s="2" t="str">
        <f t="shared" si="22"/>
        <v>Safe</v>
      </c>
      <c r="O297" s="2" t="str">
        <f t="shared" si="23"/>
        <v>Safe</v>
      </c>
      <c r="P297" s="2" t="str">
        <f t="shared" si="24"/>
        <v>Safe</v>
      </c>
    </row>
    <row r="298" spans="1:16" x14ac:dyDescent="0.35">
      <c r="A298" s="2" t="s">
        <v>307</v>
      </c>
      <c r="B298" s="3">
        <v>44612</v>
      </c>
      <c r="C298" s="3" t="str">
        <f t="shared" si="20"/>
        <v>Feb</v>
      </c>
      <c r="D298" s="2" t="s">
        <v>314</v>
      </c>
      <c r="E298" s="2" t="s">
        <v>312</v>
      </c>
      <c r="F298" s="2">
        <v>8.4</v>
      </c>
      <c r="G298" s="2">
        <v>714</v>
      </c>
      <c r="H298" s="2">
        <v>776</v>
      </c>
      <c r="I298" s="2">
        <v>328</v>
      </c>
      <c r="J298" s="2">
        <v>44</v>
      </c>
      <c r="K298" s="2">
        <v>6.0000000000000001E-3</v>
      </c>
      <c r="L298" s="2">
        <v>19</v>
      </c>
      <c r="M298" s="2" t="str">
        <f t="shared" si="21"/>
        <v>Safe</v>
      </c>
      <c r="N298" s="2" t="str">
        <f t="shared" si="22"/>
        <v>Safe</v>
      </c>
      <c r="O298" s="2" t="str">
        <f t="shared" si="23"/>
        <v>Safe</v>
      </c>
      <c r="P298" s="2" t="str">
        <f t="shared" si="24"/>
        <v>Safe</v>
      </c>
    </row>
    <row r="299" spans="1:16" x14ac:dyDescent="0.35">
      <c r="A299" s="2" t="s">
        <v>308</v>
      </c>
      <c r="B299" s="3">
        <v>44584</v>
      </c>
      <c r="C299" s="3" t="str">
        <f t="shared" si="20"/>
        <v>Jan</v>
      </c>
      <c r="D299" s="2" t="s">
        <v>313</v>
      </c>
      <c r="E299" s="2" t="s">
        <v>312</v>
      </c>
      <c r="F299" s="2">
        <v>6.7</v>
      </c>
      <c r="G299" s="2">
        <v>516</v>
      </c>
      <c r="H299" s="2">
        <v>119</v>
      </c>
      <c r="I299" s="2">
        <v>108</v>
      </c>
      <c r="J299" s="2">
        <v>10</v>
      </c>
      <c r="K299" s="2">
        <v>1.0999999999999999E-2</v>
      </c>
      <c r="L299" s="2">
        <v>22</v>
      </c>
      <c r="M299" s="2" t="str">
        <f t="shared" si="21"/>
        <v>Safe</v>
      </c>
      <c r="N299" s="2" t="str">
        <f t="shared" si="22"/>
        <v>Safe</v>
      </c>
      <c r="O299" s="2" t="str">
        <f t="shared" si="23"/>
        <v>Unsafe</v>
      </c>
      <c r="P299" s="2" t="str">
        <f t="shared" si="24"/>
        <v>Contaminated</v>
      </c>
    </row>
    <row r="300" spans="1:16" x14ac:dyDescent="0.35">
      <c r="A300" s="2" t="s">
        <v>309</v>
      </c>
      <c r="B300" s="3">
        <v>44640</v>
      </c>
      <c r="C300" s="3" t="str">
        <f t="shared" si="20"/>
        <v>Mar</v>
      </c>
      <c r="D300" s="2" t="s">
        <v>311</v>
      </c>
      <c r="E300" s="2" t="s">
        <v>315</v>
      </c>
      <c r="F300" s="2">
        <v>7.5</v>
      </c>
      <c r="G300" s="2">
        <v>1435</v>
      </c>
      <c r="H300" s="2">
        <v>847</v>
      </c>
      <c r="I300" s="2">
        <v>341</v>
      </c>
      <c r="J300" s="2">
        <v>71</v>
      </c>
      <c r="K300" s="2">
        <v>1.4999999999999999E-2</v>
      </c>
      <c r="L300" s="2">
        <v>26</v>
      </c>
      <c r="M300" s="2" t="str">
        <f t="shared" si="21"/>
        <v>Safe</v>
      </c>
      <c r="N300" s="2" t="str">
        <f t="shared" si="22"/>
        <v>Unsafe</v>
      </c>
      <c r="O300" s="2" t="str">
        <f t="shared" si="23"/>
        <v>Unsafe</v>
      </c>
      <c r="P300" s="2" t="str">
        <f t="shared" si="24"/>
        <v>Contaminated</v>
      </c>
    </row>
    <row r="301" spans="1:16" x14ac:dyDescent="0.35">
      <c r="A301" s="2" t="s">
        <v>310</v>
      </c>
      <c r="B301" s="3">
        <v>44647</v>
      </c>
      <c r="C301" s="3" t="str">
        <f t="shared" si="20"/>
        <v>Mar</v>
      </c>
      <c r="D301" s="2" t="s">
        <v>317</v>
      </c>
      <c r="E301" s="2" t="s">
        <v>312</v>
      </c>
      <c r="F301" s="2">
        <v>6.4</v>
      </c>
      <c r="G301" s="2">
        <v>1502</v>
      </c>
      <c r="H301" s="2">
        <v>990</v>
      </c>
      <c r="I301" s="2">
        <v>252</v>
      </c>
      <c r="J301" s="2">
        <v>21</v>
      </c>
      <c r="K301" s="2">
        <v>8.9999999999999993E-3</v>
      </c>
      <c r="L301" s="2">
        <v>16</v>
      </c>
      <c r="M301" s="2" t="str">
        <f t="shared" si="21"/>
        <v>Unsafe</v>
      </c>
      <c r="N301" s="2" t="str">
        <f t="shared" si="22"/>
        <v>Safe</v>
      </c>
      <c r="O301" s="2" t="str">
        <f t="shared" si="23"/>
        <v>Safe</v>
      </c>
      <c r="P301" s="2" t="str">
        <f t="shared" si="24"/>
        <v>Contaminated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CE770-4C76-419E-825D-4947CE03A770}">
  <dimension ref="A1:H9"/>
  <sheetViews>
    <sheetView workbookViewId="0">
      <selection activeCell="A6" sqref="A6:B9"/>
    </sheetView>
  </sheetViews>
  <sheetFormatPr defaultRowHeight="14" x14ac:dyDescent="0.3"/>
  <cols>
    <col min="1" max="1" width="12.6328125" style="5" bestFit="1" customWidth="1"/>
    <col min="2" max="2" width="20.90625" style="5" bestFit="1" customWidth="1"/>
    <col min="3" max="16384" width="8.7265625" style="5"/>
  </cols>
  <sheetData>
    <row r="1" spans="1:8" x14ac:dyDescent="0.3">
      <c r="A1" s="4" t="s">
        <v>323</v>
      </c>
      <c r="B1" s="5" t="s">
        <v>327</v>
      </c>
    </row>
    <row r="2" spans="1:8" x14ac:dyDescent="0.3">
      <c r="A2" s="6" t="s">
        <v>324</v>
      </c>
      <c r="B2" s="7">
        <v>0.73333333333333328</v>
      </c>
    </row>
    <row r="3" spans="1:8" x14ac:dyDescent="0.3">
      <c r="A3" s="6" t="s">
        <v>325</v>
      </c>
      <c r="B3" s="7">
        <v>0.26666666666666666</v>
      </c>
    </row>
    <row r="4" spans="1:8" x14ac:dyDescent="0.3">
      <c r="A4" s="6" t="s">
        <v>326</v>
      </c>
      <c r="B4" s="7">
        <v>1</v>
      </c>
    </row>
    <row r="6" spans="1:8" x14ac:dyDescent="0.3">
      <c r="A6" s="12" t="s">
        <v>356</v>
      </c>
      <c r="B6" s="12"/>
      <c r="C6" s="8"/>
      <c r="D6" s="8"/>
      <c r="E6" s="8"/>
      <c r="F6" s="8"/>
      <c r="G6" s="8"/>
      <c r="H6" s="8"/>
    </row>
    <row r="7" spans="1:8" x14ac:dyDescent="0.3">
      <c r="A7" s="12"/>
      <c r="B7" s="12"/>
      <c r="C7" s="8"/>
      <c r="D7" s="8"/>
      <c r="E7" s="8"/>
      <c r="F7" s="8"/>
      <c r="G7" s="8"/>
      <c r="H7" s="8"/>
    </row>
    <row r="8" spans="1:8" x14ac:dyDescent="0.3">
      <c r="A8" s="12"/>
      <c r="B8" s="12"/>
    </row>
    <row r="9" spans="1:8" x14ac:dyDescent="0.3">
      <c r="A9" s="12"/>
      <c r="B9" s="12"/>
    </row>
  </sheetData>
  <mergeCells count="1">
    <mergeCell ref="A6:B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7FB5A-63CF-4A88-9C2B-AC775C3A57B1}">
  <dimension ref="A2:D13"/>
  <sheetViews>
    <sheetView workbookViewId="0">
      <selection activeCell="D17" sqref="D17"/>
    </sheetView>
  </sheetViews>
  <sheetFormatPr defaultRowHeight="14" x14ac:dyDescent="0.3"/>
  <cols>
    <col min="1" max="1" width="21.81640625" style="5" bestFit="1" customWidth="1"/>
    <col min="2" max="2" width="16.26953125" style="5" bestFit="1" customWidth="1"/>
    <col min="3" max="3" width="7.453125" style="5" bestFit="1" customWidth="1"/>
    <col min="4" max="4" width="11.453125" style="5" bestFit="1" customWidth="1"/>
    <col min="5" max="16384" width="8.7265625" style="5"/>
  </cols>
  <sheetData>
    <row r="2" spans="1:4" x14ac:dyDescent="0.3">
      <c r="A2" s="4" t="s">
        <v>327</v>
      </c>
      <c r="B2" s="4" t="s">
        <v>328</v>
      </c>
    </row>
    <row r="3" spans="1:4" x14ac:dyDescent="0.3">
      <c r="A3" s="4" t="s">
        <v>361</v>
      </c>
      <c r="B3" s="5" t="s">
        <v>324</v>
      </c>
      <c r="C3" s="5" t="s">
        <v>325</v>
      </c>
      <c r="D3" s="5" t="s">
        <v>326</v>
      </c>
    </row>
    <row r="4" spans="1:4" x14ac:dyDescent="0.3">
      <c r="A4" s="6" t="s">
        <v>314</v>
      </c>
      <c r="B4" s="7">
        <v>0.74193548387096775</v>
      </c>
      <c r="C4" s="7">
        <v>0.25806451612903225</v>
      </c>
      <c r="D4" s="7">
        <v>1</v>
      </c>
    </row>
    <row r="5" spans="1:4" x14ac:dyDescent="0.3">
      <c r="A5" s="6" t="s">
        <v>316</v>
      </c>
      <c r="B5" s="7">
        <v>0.70588235294117652</v>
      </c>
      <c r="C5" s="7">
        <v>0.29411764705882354</v>
      </c>
      <c r="D5" s="7">
        <v>1</v>
      </c>
    </row>
    <row r="6" spans="1:4" x14ac:dyDescent="0.3">
      <c r="A6" s="6" t="s">
        <v>313</v>
      </c>
      <c r="B6" s="7">
        <v>0.76190476190476186</v>
      </c>
      <c r="C6" s="7">
        <v>0.23809523809523808</v>
      </c>
      <c r="D6" s="7">
        <v>1</v>
      </c>
    </row>
    <row r="7" spans="1:4" x14ac:dyDescent="0.3">
      <c r="A7" s="6" t="s">
        <v>317</v>
      </c>
      <c r="B7" s="7">
        <v>0.76363636363636367</v>
      </c>
      <c r="C7" s="7">
        <v>0.23636363636363636</v>
      </c>
      <c r="D7" s="7">
        <v>1</v>
      </c>
    </row>
    <row r="8" spans="1:4" x14ac:dyDescent="0.3">
      <c r="A8" s="6" t="s">
        <v>311</v>
      </c>
      <c r="B8" s="7">
        <v>0.69565217391304346</v>
      </c>
      <c r="C8" s="7">
        <v>0.30434782608695654</v>
      </c>
      <c r="D8" s="7">
        <v>1</v>
      </c>
    </row>
    <row r="9" spans="1:4" x14ac:dyDescent="0.3">
      <c r="A9" s="6" t="s">
        <v>326</v>
      </c>
      <c r="B9" s="7">
        <v>0.73333333333333328</v>
      </c>
      <c r="C9" s="7">
        <v>0.26666666666666666</v>
      </c>
      <c r="D9" s="7">
        <v>1</v>
      </c>
    </row>
    <row r="11" spans="1:4" x14ac:dyDescent="0.3">
      <c r="A11" s="12" t="s">
        <v>357</v>
      </c>
      <c r="B11" s="12"/>
      <c r="C11" s="12"/>
      <c r="D11" s="12"/>
    </row>
    <row r="12" spans="1:4" x14ac:dyDescent="0.3">
      <c r="A12" s="12"/>
      <c r="B12" s="12"/>
      <c r="C12" s="12"/>
      <c r="D12" s="12"/>
    </row>
    <row r="13" spans="1:4" x14ac:dyDescent="0.3">
      <c r="A13" s="12"/>
      <c r="B13" s="12"/>
      <c r="C13" s="12"/>
      <c r="D13" s="12"/>
    </row>
  </sheetData>
  <mergeCells count="1">
    <mergeCell ref="A11:D1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6AD91-8092-47A3-9AE2-D3312A7D7536}">
  <dimension ref="A2:D9"/>
  <sheetViews>
    <sheetView workbookViewId="0">
      <selection activeCell="G19" sqref="G19"/>
    </sheetView>
  </sheetViews>
  <sheetFormatPr defaultRowHeight="14" x14ac:dyDescent="0.3"/>
  <cols>
    <col min="1" max="1" width="20.90625" style="5" bestFit="1" customWidth="1"/>
    <col min="2" max="2" width="15.36328125" style="5" bestFit="1" customWidth="1"/>
    <col min="3" max="3" width="7.453125" style="5" bestFit="1" customWidth="1"/>
    <col min="4" max="4" width="10.81640625" style="5" bestFit="1" customWidth="1"/>
    <col min="5" max="16384" width="8.7265625" style="5"/>
  </cols>
  <sheetData>
    <row r="2" spans="1:4" x14ac:dyDescent="0.3">
      <c r="A2" s="4" t="s">
        <v>327</v>
      </c>
      <c r="B2" s="4" t="s">
        <v>328</v>
      </c>
    </row>
    <row r="3" spans="1:4" x14ac:dyDescent="0.3">
      <c r="A3" s="4" t="s">
        <v>323</v>
      </c>
      <c r="B3" s="5" t="s">
        <v>324</v>
      </c>
      <c r="C3" s="5" t="s">
        <v>325</v>
      </c>
      <c r="D3" s="5" t="s">
        <v>326</v>
      </c>
    </row>
    <row r="4" spans="1:4" x14ac:dyDescent="0.3">
      <c r="A4" s="6" t="s">
        <v>315</v>
      </c>
      <c r="B4" s="7">
        <v>0.7142857142857143</v>
      </c>
      <c r="C4" s="7">
        <v>0.2857142857142857</v>
      </c>
      <c r="D4" s="7">
        <v>1</v>
      </c>
    </row>
    <row r="5" spans="1:4" x14ac:dyDescent="0.3">
      <c r="A5" s="6" t="s">
        <v>312</v>
      </c>
      <c r="B5" s="7">
        <v>0.7142857142857143</v>
      </c>
      <c r="C5" s="7">
        <v>0.2857142857142857</v>
      </c>
      <c r="D5" s="7">
        <v>1</v>
      </c>
    </row>
    <row r="6" spans="1:4" x14ac:dyDescent="0.3">
      <c r="A6" s="6" t="s">
        <v>318</v>
      </c>
      <c r="B6" s="7">
        <v>0.77777777777777779</v>
      </c>
      <c r="C6" s="7">
        <v>0.22222222222222221</v>
      </c>
      <c r="D6" s="7">
        <v>1</v>
      </c>
    </row>
    <row r="7" spans="1:4" x14ac:dyDescent="0.3">
      <c r="A7" s="6" t="s">
        <v>326</v>
      </c>
      <c r="B7" s="7">
        <v>0.73333333333333328</v>
      </c>
      <c r="C7" s="7">
        <v>0.26666666666666666</v>
      </c>
      <c r="D7" s="7">
        <v>1</v>
      </c>
    </row>
    <row r="9" spans="1:4" x14ac:dyDescent="0.3">
      <c r="A9" s="13" t="s">
        <v>358</v>
      </c>
      <c r="B9" s="13"/>
    </row>
  </sheetData>
  <mergeCells count="1">
    <mergeCell ref="A9:B9"/>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DEBF-9C84-4F11-903E-33CD21830F2B}">
  <dimension ref="A2:Q15"/>
  <sheetViews>
    <sheetView workbookViewId="0">
      <selection activeCell="L18" sqref="L18"/>
    </sheetView>
  </sheetViews>
  <sheetFormatPr defaultRowHeight="14" x14ac:dyDescent="0.3"/>
  <cols>
    <col min="1" max="1" width="12.36328125" style="5" bestFit="1" customWidth="1"/>
    <col min="2" max="2" width="22.26953125" style="5" bestFit="1" customWidth="1"/>
    <col min="3" max="16384" width="8.7265625" style="5"/>
  </cols>
  <sheetData>
    <row r="2" spans="1:17" x14ac:dyDescent="0.3">
      <c r="A2" s="4" t="s">
        <v>323</v>
      </c>
      <c r="B2" s="5" t="s">
        <v>342</v>
      </c>
    </row>
    <row r="3" spans="1:17" x14ac:dyDescent="0.3">
      <c r="A3" s="6" t="s">
        <v>330</v>
      </c>
      <c r="B3" s="5">
        <v>29</v>
      </c>
    </row>
    <row r="4" spans="1:17" x14ac:dyDescent="0.3">
      <c r="A4" s="6" t="s">
        <v>331</v>
      </c>
      <c r="B4" s="5">
        <v>47.153846153846153</v>
      </c>
      <c r="L4" s="12" t="s">
        <v>343</v>
      </c>
      <c r="M4" s="12"/>
      <c r="N4" s="12"/>
      <c r="O4" s="12"/>
      <c r="P4" s="12"/>
      <c r="Q4" s="12"/>
    </row>
    <row r="5" spans="1:17" x14ac:dyDescent="0.3">
      <c r="A5" s="6" t="s">
        <v>332</v>
      </c>
      <c r="B5" s="5">
        <v>34.44</v>
      </c>
      <c r="L5" s="12"/>
      <c r="M5" s="12"/>
      <c r="N5" s="12"/>
      <c r="O5" s="12"/>
      <c r="P5" s="12"/>
      <c r="Q5" s="12"/>
    </row>
    <row r="6" spans="1:17" x14ac:dyDescent="0.3">
      <c r="A6" s="6" t="s">
        <v>333</v>
      </c>
      <c r="B6" s="5">
        <v>40.454545454545453</v>
      </c>
      <c r="L6" s="12"/>
      <c r="M6" s="12"/>
      <c r="N6" s="12"/>
      <c r="O6" s="12"/>
      <c r="P6" s="12"/>
      <c r="Q6" s="12"/>
    </row>
    <row r="7" spans="1:17" x14ac:dyDescent="0.3">
      <c r="A7" s="6" t="s">
        <v>334</v>
      </c>
      <c r="B7" s="5">
        <v>36.642857142857146</v>
      </c>
      <c r="L7" s="12"/>
      <c r="M7" s="12"/>
      <c r="N7" s="12"/>
      <c r="O7" s="12"/>
      <c r="P7" s="12"/>
      <c r="Q7" s="12"/>
    </row>
    <row r="8" spans="1:17" x14ac:dyDescent="0.3">
      <c r="A8" s="6" t="s">
        <v>335</v>
      </c>
      <c r="B8" s="5">
        <v>39.5</v>
      </c>
    </row>
    <row r="9" spans="1:17" x14ac:dyDescent="0.3">
      <c r="A9" s="6" t="s">
        <v>336</v>
      </c>
      <c r="B9" s="5">
        <v>40.518518518518519</v>
      </c>
    </row>
    <row r="10" spans="1:17" x14ac:dyDescent="0.3">
      <c r="A10" s="6" t="s">
        <v>337</v>
      </c>
      <c r="B10" s="5">
        <v>38.840000000000003</v>
      </c>
    </row>
    <row r="11" spans="1:17" x14ac:dyDescent="0.3">
      <c r="A11" s="6" t="s">
        <v>338</v>
      </c>
      <c r="B11" s="5">
        <v>37.307692307692307</v>
      </c>
    </row>
    <row r="12" spans="1:17" x14ac:dyDescent="0.3">
      <c r="A12" s="6" t="s">
        <v>339</v>
      </c>
      <c r="B12" s="5">
        <v>42.913043478260867</v>
      </c>
    </row>
    <row r="13" spans="1:17" x14ac:dyDescent="0.3">
      <c r="A13" s="6" t="s">
        <v>340</v>
      </c>
      <c r="B13" s="5">
        <v>35.913043478260867</v>
      </c>
    </row>
    <row r="14" spans="1:17" x14ac:dyDescent="0.3">
      <c r="A14" s="6" t="s">
        <v>341</v>
      </c>
      <c r="B14" s="5">
        <v>28.095238095238095</v>
      </c>
    </row>
    <row r="15" spans="1:17" x14ac:dyDescent="0.3">
      <c r="A15" s="6" t="s">
        <v>326</v>
      </c>
      <c r="B15" s="5">
        <v>37.74</v>
      </c>
    </row>
  </sheetData>
  <mergeCells count="1">
    <mergeCell ref="L4:Q7"/>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480E1-1A2E-4444-85E4-E7D18E36EFF6}">
  <dimension ref="A2:P19"/>
  <sheetViews>
    <sheetView workbookViewId="0">
      <selection activeCell="G5" sqref="G3:H5"/>
    </sheetView>
  </sheetViews>
  <sheetFormatPr defaultRowHeight="14" x14ac:dyDescent="0.3"/>
  <cols>
    <col min="1" max="1" width="12.36328125" style="5" bestFit="1" customWidth="1"/>
    <col min="2" max="2" width="20.90625" style="5" bestFit="1" customWidth="1"/>
    <col min="3" max="3" width="8.7265625" style="5"/>
    <col min="4" max="4" width="10.26953125" style="5" customWidth="1"/>
    <col min="5" max="5" width="11.6328125" style="5" customWidth="1"/>
    <col min="6" max="6" width="8.7265625" style="5"/>
    <col min="7" max="7" width="11.6328125" style="5" customWidth="1"/>
    <col min="8" max="8" width="10.6328125" style="5" customWidth="1"/>
    <col min="9" max="16384" width="8.7265625" style="5"/>
  </cols>
  <sheetData>
    <row r="2" spans="1:8" x14ac:dyDescent="0.3">
      <c r="A2" s="9" t="s">
        <v>323</v>
      </c>
      <c r="B2" s="2" t="s">
        <v>345</v>
      </c>
      <c r="G2" s="5" t="s">
        <v>348</v>
      </c>
      <c r="H2" s="5" t="s">
        <v>349</v>
      </c>
    </row>
    <row r="3" spans="1:8" x14ac:dyDescent="0.3">
      <c r="A3" s="2" t="s">
        <v>325</v>
      </c>
      <c r="B3" s="10">
        <v>0.68666666666666665</v>
      </c>
      <c r="G3" s="2" t="s">
        <v>4</v>
      </c>
      <c r="H3" s="10">
        <v>0.31330000000000002</v>
      </c>
    </row>
    <row r="4" spans="1:8" x14ac:dyDescent="0.3">
      <c r="A4" s="2" t="s">
        <v>344</v>
      </c>
      <c r="B4" s="10">
        <v>0.31333333333333335</v>
      </c>
      <c r="G4" s="2" t="s">
        <v>350</v>
      </c>
      <c r="H4" s="11">
        <v>0.35</v>
      </c>
    </row>
    <row r="5" spans="1:8" x14ac:dyDescent="0.3">
      <c r="A5" s="2" t="s">
        <v>326</v>
      </c>
      <c r="B5" s="10">
        <v>1</v>
      </c>
      <c r="D5" s="13" t="s">
        <v>352</v>
      </c>
      <c r="E5" s="13"/>
      <c r="G5" s="2" t="s">
        <v>351</v>
      </c>
      <c r="H5" s="10">
        <v>0.42670000000000002</v>
      </c>
    </row>
    <row r="6" spans="1:8" x14ac:dyDescent="0.3">
      <c r="A6" s="6"/>
      <c r="B6" s="7"/>
    </row>
    <row r="9" spans="1:8" x14ac:dyDescent="0.3">
      <c r="A9" s="9" t="s">
        <v>323</v>
      </c>
      <c r="B9" s="2" t="s">
        <v>346</v>
      </c>
    </row>
    <row r="10" spans="1:8" x14ac:dyDescent="0.3">
      <c r="A10" s="2" t="s">
        <v>325</v>
      </c>
      <c r="B10" s="10">
        <v>0.65</v>
      </c>
    </row>
    <row r="11" spans="1:8" x14ac:dyDescent="0.3">
      <c r="A11" s="2" t="s">
        <v>344</v>
      </c>
      <c r="B11" s="10">
        <v>0.35</v>
      </c>
    </row>
    <row r="12" spans="1:8" x14ac:dyDescent="0.3">
      <c r="A12" s="2" t="s">
        <v>326</v>
      </c>
      <c r="B12" s="10">
        <v>1</v>
      </c>
      <c r="D12" s="13" t="s">
        <v>353</v>
      </c>
      <c r="E12" s="13"/>
    </row>
    <row r="15" spans="1:8" x14ac:dyDescent="0.3">
      <c r="A15" s="9" t="s">
        <v>323</v>
      </c>
      <c r="B15" s="2" t="s">
        <v>347</v>
      </c>
    </row>
    <row r="16" spans="1:8" x14ac:dyDescent="0.3">
      <c r="A16" s="2" t="s">
        <v>325</v>
      </c>
      <c r="B16" s="10">
        <v>0.57333333333333336</v>
      </c>
    </row>
    <row r="17" spans="1:16" ht="14.5" customHeight="1" x14ac:dyDescent="0.3">
      <c r="A17" s="2" t="s">
        <v>344</v>
      </c>
      <c r="B17" s="10">
        <v>0.42666666666666669</v>
      </c>
      <c r="J17" s="12" t="s">
        <v>355</v>
      </c>
      <c r="K17" s="12"/>
      <c r="L17" s="12"/>
      <c r="M17" s="12"/>
      <c r="N17" s="12"/>
      <c r="O17" s="12"/>
      <c r="P17" s="12"/>
    </row>
    <row r="18" spans="1:16" x14ac:dyDescent="0.3">
      <c r="A18" s="2" t="s">
        <v>326</v>
      </c>
      <c r="B18" s="10">
        <v>1</v>
      </c>
      <c r="D18" s="13" t="s">
        <v>354</v>
      </c>
      <c r="E18" s="13"/>
      <c r="J18" s="12"/>
      <c r="K18" s="12"/>
      <c r="L18" s="12"/>
      <c r="M18" s="12"/>
      <c r="N18" s="12"/>
      <c r="O18" s="12"/>
      <c r="P18" s="12"/>
    </row>
    <row r="19" spans="1:16" x14ac:dyDescent="0.3">
      <c r="J19" s="13" t="s">
        <v>359</v>
      </c>
      <c r="K19" s="13"/>
      <c r="L19" s="13"/>
      <c r="M19" s="13"/>
      <c r="N19" s="13"/>
      <c r="O19" s="13"/>
      <c r="P19" s="13"/>
    </row>
  </sheetData>
  <mergeCells count="5">
    <mergeCell ref="D5:E5"/>
    <mergeCell ref="D12:E12"/>
    <mergeCell ref="D18:E18"/>
    <mergeCell ref="J17:P18"/>
    <mergeCell ref="J19:P19"/>
  </mergeCells>
  <pageMargins left="0.7" right="0.7" top="0.75" bottom="0.75" header="0.3" footer="0.3"/>
  <drawing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C70F1-56C1-4063-B2B0-13CA6267803A}">
  <dimension ref="A1:AF1"/>
  <sheetViews>
    <sheetView showGridLines="0" tabSelected="1" zoomScale="60" zoomScaleNormal="60" workbookViewId="0">
      <selection sqref="A1:AF1"/>
    </sheetView>
  </sheetViews>
  <sheetFormatPr defaultRowHeight="14.5" x14ac:dyDescent="0.35"/>
  <sheetData>
    <row r="1" spans="1:32" x14ac:dyDescent="0.35">
      <c r="A1" s="14" t="s">
        <v>360</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row>
  </sheetData>
  <mergeCells count="1">
    <mergeCell ref="A1:A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Water_Quality_Data_Raw</vt:lpstr>
      <vt:lpstr>Water_Quality_Data </vt:lpstr>
      <vt:lpstr>Contamination%</vt:lpstr>
      <vt:lpstr>Contamination by Region</vt:lpstr>
      <vt:lpstr>Risk by Source Type</vt:lpstr>
      <vt:lpstr>Seasonal Nitrate Trend</vt:lpstr>
      <vt:lpstr>Most Failures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Huzaifa Mohsin</dc:creator>
  <cp:lastModifiedBy>Muhammad Huzaifa Mohsin</cp:lastModifiedBy>
  <dcterms:created xsi:type="dcterms:W3CDTF">2026-02-27T06:56:05Z</dcterms:created>
  <dcterms:modified xsi:type="dcterms:W3CDTF">2026-03-17T16:47:09Z</dcterms:modified>
</cp:coreProperties>
</file>